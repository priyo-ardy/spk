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A-MUKTI\Desktop\PM Analyst\New create\"/>
    </mc:Choice>
  </mc:AlternateContent>
  <xr:revisionPtr revIDLastSave="0" documentId="8_{081670EE-5783-4E47-8625-153CE622D764}" xr6:coauthVersionLast="47" xr6:coauthVersionMax="47" xr10:uidLastSave="{00000000-0000-0000-0000-000000000000}"/>
  <bookViews>
    <workbookView xWindow="-120" yWindow="-120" windowWidth="20730" windowHeight="11310" xr2:uid="{D46D2BBC-C740-47D9-A44A-5BE79E33FE64}"/>
  </bookViews>
  <sheets>
    <sheet name="MOLD" sheetId="1" r:id="rId1"/>
    <sheet name="ME" sheetId="2" r:id="rId2"/>
    <sheet name="Master Equipment" sheetId="3" r:id="rId3"/>
    <sheet name="sheet (2)" sheetId="4" r:id="rId4"/>
  </sheets>
  <definedNames>
    <definedName name="_xlnm._FilterDatabase" localSheetId="2" hidden="1">'Master Equipment'!$A$6:$N$276</definedName>
    <definedName name="_xlnm._FilterDatabase" localSheetId="3" hidden="1">'sheet (2)'!$A$6:$N$146</definedName>
    <definedName name="_xlnm.Print_Area" localSheetId="2">'Master Equipment'!$A$1:$N$276</definedName>
    <definedName name="_xlnm.Print_Area" localSheetId="3">'sheet (2)'!$A$1:$M$136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4" i="4" l="1"/>
  <c r="M74" i="4"/>
  <c r="M40" i="4"/>
  <c r="N257" i="3"/>
  <c r="N236" i="3"/>
  <c r="N205" i="3"/>
  <c r="N203" i="3"/>
  <c r="N167" i="3"/>
  <c r="N134" i="3"/>
  <c r="N102" i="3"/>
  <c r="N100" i="3"/>
  <c r="N98" i="3"/>
  <c r="N69" i="3"/>
  <c r="N38" i="3"/>
  <c r="N7" i="3"/>
</calcChain>
</file>

<file path=xl/sharedStrings.xml><?xml version="1.0" encoding="utf-8"?>
<sst xmlns="http://schemas.openxmlformats.org/spreadsheetml/2006/main" count="3751" uniqueCount="1332">
  <si>
    <t>Injection</t>
  </si>
  <si>
    <t>Assembly</t>
  </si>
  <si>
    <t>Final</t>
  </si>
  <si>
    <t>R&amp;D</t>
  </si>
  <si>
    <t>Part No : (select PN )</t>
  </si>
  <si>
    <t>input problem</t>
  </si>
  <si>
    <t>Part Name : (Automatic )</t>
  </si>
  <si>
    <t>Repair No. : SLMMJ</t>
  </si>
  <si>
    <t>image defect posistion</t>
  </si>
  <si>
    <t>upload image (photo)</t>
  </si>
  <si>
    <t>□Others, specify:</t>
  </si>
  <si>
    <t>injection</t>
  </si>
  <si>
    <t>0145-Sukron aziz</t>
  </si>
  <si>
    <t>7171-6335-30</t>
  </si>
  <si>
    <t>protector</t>
  </si>
  <si>
    <t>link.image</t>
  </si>
  <si>
    <t xml:space="preserve">FTA Verification </t>
  </si>
  <si>
    <t>FTA Resume</t>
  </si>
  <si>
    <t>FTA 1</t>
  </si>
  <si>
    <t>FTA 2</t>
  </si>
  <si>
    <t>FTA 3</t>
  </si>
  <si>
    <t>FTA 4</t>
  </si>
  <si>
    <t>FTA 5</t>
  </si>
  <si>
    <t>Broken insert</t>
  </si>
  <si>
    <t>Broken PL (parting line)</t>
  </si>
  <si>
    <t>Broken EP (Ejector Pin)</t>
  </si>
  <si>
    <t>Clogged gate</t>
  </si>
  <si>
    <t>Water/Oil leakage</t>
  </si>
  <si>
    <t>Hot runner</t>
  </si>
  <si>
    <t>Broken surface</t>
  </si>
  <si>
    <t>Broken slider</t>
  </si>
  <si>
    <t>Cooling channel</t>
  </si>
  <si>
    <t>Air venting</t>
  </si>
  <si>
    <t>other</t>
  </si>
  <si>
    <t>internal</t>
  </si>
  <si>
    <t>external</t>
  </si>
  <si>
    <t>PIC_Corrective</t>
  </si>
  <si>
    <t>Duration</t>
  </si>
  <si>
    <t>Status_Repair</t>
  </si>
  <si>
    <t>input FTA 1</t>
  </si>
  <si>
    <t>accept/cancel/back/next</t>
  </si>
  <si>
    <t>0082-YOHANES RISKY ADI WIJAYA</t>
  </si>
  <si>
    <t>0096-JOKO SUSILO</t>
  </si>
  <si>
    <t>0229-JOKO WASKITO</t>
  </si>
  <si>
    <t>0282-IGNASIUS VONI VIYANTORO</t>
  </si>
  <si>
    <t>0304-YUSTINUS DESI RIKO SANJAYA</t>
  </si>
  <si>
    <t>0364-NOVI GALIH PURBAYA</t>
  </si>
  <si>
    <t>0378-ERFI NUR AHMAD</t>
  </si>
  <si>
    <t>0380-ANDRI WAHYUDI</t>
  </si>
  <si>
    <t>0492-YOYOK TRI NUGROHO</t>
  </si>
  <si>
    <t>Problem_Closedtime (date )</t>
  </si>
  <si>
    <t>closed</t>
  </si>
  <si>
    <t>0014-EDI SALURIYANTO</t>
  </si>
  <si>
    <t>0145-SUKRON AZIZ</t>
  </si>
  <si>
    <t>0205-RAMADHAN SAPTA WIYUDA</t>
  </si>
  <si>
    <t>0275-TEGUH SUSILO</t>
  </si>
  <si>
    <t>0346-MUHAMAD SHOLIKUL HADI</t>
  </si>
  <si>
    <t>0355-MARIMAN</t>
  </si>
  <si>
    <t>0357-LUKMAN DWI PRAMANA</t>
  </si>
  <si>
    <t>0363-AFALULLOH</t>
  </si>
  <si>
    <t>0368-AGUS UTAMA</t>
  </si>
  <si>
    <t>0440-AHMAT NUR SAHLY</t>
  </si>
  <si>
    <t>□Appearance As per inspection instruction &amp; standard
□Dimension □ Layout  □ Partial(attach picture)
□Performace As per test standard</t>
  </si>
  <si>
    <t>unclosed</t>
  </si>
  <si>
    <t>OK</t>
  </si>
  <si>
    <t>NG</t>
  </si>
  <si>
    <t>Date :</t>
  </si>
  <si>
    <t>Analysis problem :</t>
  </si>
  <si>
    <t>Image problem :</t>
  </si>
  <si>
    <t>Report by :</t>
  </si>
  <si>
    <t>Repair_location :</t>
  </si>
  <si>
    <t>Repair content :</t>
  </si>
  <si>
    <t>Repair plan :</t>
  </si>
  <si>
    <t>Predictable influence :</t>
  </si>
  <si>
    <t>Confirmation result :</t>
  </si>
  <si>
    <t>Confirm by :</t>
  </si>
  <si>
    <t>Reporting Date :</t>
  </si>
  <si>
    <t>Reporting departmen/whorkshop :</t>
  </si>
  <si>
    <t>Category problem :</t>
  </si>
  <si>
    <t>Automatic :berisi tgl/pn/brpa kali pn tersebut problem
contoh = SLMMJ-20250819-7171-6335-12</t>
  </si>
  <si>
    <t>Reason for repair</t>
  </si>
  <si>
    <t>Internal quality problem</t>
  </si>
  <si>
    <t>Defect content &amp; Reason Analysis</t>
  </si>
  <si>
    <t>Defect position (picture)</t>
  </si>
  <si>
    <t>Equipment type</t>
  </si>
  <si>
    <t>□Machine Equipment   □Transportation Equipment 
□Lab Equipments □Electronic Equipments
□Other Equipments</t>
  </si>
  <si>
    <t>Repair No. : SLMMA</t>
  </si>
  <si>
    <t>Automatic :berisi tgl/No equipment/brpa kali equipment tersebut problem
contoh = SLMMA-20250819-332-12</t>
  </si>
  <si>
    <t>0065-SUPRIYANTO</t>
  </si>
  <si>
    <t>Signature of team leader/supervisor of reporting dept</t>
  </si>
  <si>
    <t xml:space="preserve">□External quality problem </t>
  </si>
  <si>
    <t xml:space="preserve">□Internal quality problem  </t>
  </si>
  <si>
    <t xml:space="preserve">□Initiated by customer </t>
  </si>
  <si>
    <t>□Engineering change</t>
  </si>
  <si>
    <t>□Initiated by Schlemmer</t>
  </si>
  <si>
    <t>0009-JOKO PRASETYO UTOMO</t>
  </si>
  <si>
    <t>0013-AGUS SETIANTO</t>
  </si>
  <si>
    <t>Equipment Model</t>
  </si>
  <si>
    <t>Team leader/Supervisor</t>
  </si>
  <si>
    <t>Equipment name:</t>
  </si>
  <si>
    <t>Equipment No:</t>
  </si>
  <si>
    <t>Equipment Model:</t>
  </si>
  <si>
    <t>QC</t>
  </si>
  <si>
    <r>
      <rPr>
        <sz val="16"/>
        <rFont val="黑体"/>
        <family val="3"/>
        <charset val="134"/>
      </rPr>
      <t xml:space="preserve">设备清单
</t>
    </r>
    <r>
      <rPr>
        <sz val="16"/>
        <rFont val="Arial"/>
        <family val="2"/>
      </rPr>
      <t>List of Equipment</t>
    </r>
  </si>
  <si>
    <r>
      <rPr>
        <sz val="10"/>
        <rFont val="黑体"/>
        <family val="3"/>
        <charset val="134"/>
      </rPr>
      <t>表格编号</t>
    </r>
    <r>
      <rPr>
        <sz val="10"/>
        <rFont val="Arial"/>
        <family val="2"/>
      </rPr>
      <t xml:space="preserve">/Form No: 07-02-13 </t>
    </r>
  </si>
  <si>
    <r>
      <rPr>
        <sz val="10"/>
        <rFont val="黑体"/>
        <family val="3"/>
        <charset val="134"/>
      </rPr>
      <t>版本号</t>
    </r>
    <r>
      <rPr>
        <sz val="10"/>
        <rFont val="Arial"/>
        <family val="2"/>
      </rPr>
      <t>/Ver.</t>
    </r>
    <r>
      <rPr>
        <sz val="10"/>
        <rFont val="黑体"/>
        <family val="3"/>
        <charset val="134"/>
      </rPr>
      <t>：</t>
    </r>
    <r>
      <rPr>
        <sz val="10"/>
        <rFont val="Arial"/>
        <family val="2"/>
      </rPr>
      <t>1.0</t>
    </r>
  </si>
  <si>
    <r>
      <rPr>
        <sz val="10"/>
        <rFont val="黑体"/>
        <family val="3"/>
        <charset val="134"/>
      </rPr>
      <t>编号：</t>
    </r>
    <r>
      <rPr>
        <sz val="10"/>
        <rFont val="Arial"/>
        <family val="2"/>
      </rPr>
      <t>No:</t>
    </r>
  </si>
  <si>
    <r>
      <rPr>
        <sz val="10"/>
        <rFont val="黑体"/>
        <family val="3"/>
        <charset val="134"/>
      </rPr>
      <t>产品名称</t>
    </r>
    <r>
      <rPr>
        <sz val="10"/>
        <rFont val="Arial"/>
        <family val="2"/>
      </rPr>
      <t>:
Product name</t>
    </r>
  </si>
  <si>
    <t>All Project</t>
  </si>
  <si>
    <r>
      <rPr>
        <sz val="10"/>
        <rFont val="黑体"/>
        <family val="3"/>
        <charset val="134"/>
      </rPr>
      <t xml:space="preserve">产品图号
</t>
    </r>
    <r>
      <rPr>
        <sz val="10"/>
        <rFont val="Arial"/>
        <family val="2"/>
      </rPr>
      <t>Product drawing No</t>
    </r>
  </si>
  <si>
    <t>-</t>
  </si>
  <si>
    <r>
      <rPr>
        <sz val="10"/>
        <rFont val="黑体"/>
        <family val="3"/>
        <charset val="134"/>
      </rPr>
      <t xml:space="preserve">生产设备清单
</t>
    </r>
    <r>
      <rPr>
        <sz val="10"/>
        <rFont val="Arial"/>
        <family val="2"/>
      </rPr>
      <t>Production equipment list</t>
    </r>
  </si>
  <si>
    <r>
      <rPr>
        <sz val="10"/>
        <rFont val="黑体"/>
        <family val="3"/>
        <charset val="134"/>
      </rPr>
      <t xml:space="preserve">序号
</t>
    </r>
    <r>
      <rPr>
        <sz val="10"/>
        <rFont val="Arial"/>
        <family val="2"/>
      </rPr>
      <t>No</t>
    </r>
  </si>
  <si>
    <r>
      <rPr>
        <sz val="10"/>
        <rFont val="黑体"/>
        <family val="3"/>
        <charset val="134"/>
      </rPr>
      <t>设</t>
    </r>
    <r>
      <rPr>
        <sz val="10"/>
        <rFont val="Arial"/>
        <family val="2"/>
      </rPr>
      <t xml:space="preserve"> </t>
    </r>
    <r>
      <rPr>
        <sz val="10"/>
        <rFont val="黑体"/>
        <family val="3"/>
        <charset val="134"/>
      </rPr>
      <t>备</t>
    </r>
    <r>
      <rPr>
        <sz val="10"/>
        <rFont val="Arial"/>
        <family val="2"/>
      </rPr>
      <t xml:space="preserve"> </t>
    </r>
    <r>
      <rPr>
        <sz val="10"/>
        <rFont val="黑体"/>
        <family val="3"/>
        <charset val="134"/>
      </rPr>
      <t>名</t>
    </r>
    <r>
      <rPr>
        <sz val="10"/>
        <rFont val="Arial"/>
        <family val="2"/>
      </rPr>
      <t xml:space="preserve"> </t>
    </r>
    <r>
      <rPr>
        <sz val="10"/>
        <rFont val="黑体"/>
        <family val="3"/>
        <charset val="134"/>
      </rPr>
      <t xml:space="preserve">称
</t>
    </r>
    <r>
      <rPr>
        <sz val="10"/>
        <rFont val="Arial"/>
        <family val="2"/>
      </rPr>
      <t>Equipment name</t>
    </r>
  </si>
  <si>
    <t>No. Mesin</t>
  </si>
  <si>
    <t xml:space="preserve">
Brand</t>
  </si>
  <si>
    <r>
      <rPr>
        <sz val="10"/>
        <rFont val="黑体"/>
        <family val="3"/>
        <charset val="134"/>
      </rPr>
      <t>型</t>
    </r>
    <r>
      <rPr>
        <sz val="10"/>
        <rFont val="Arial"/>
        <family val="2"/>
      </rPr>
      <t xml:space="preserve"> </t>
    </r>
    <r>
      <rPr>
        <sz val="10"/>
        <rFont val="黑体"/>
        <family val="3"/>
        <charset val="134"/>
      </rPr>
      <t>号</t>
    </r>
    <r>
      <rPr>
        <sz val="10"/>
        <rFont val="Arial"/>
        <family val="2"/>
      </rPr>
      <t xml:space="preserve"> </t>
    </r>
    <r>
      <rPr>
        <sz val="10"/>
        <rFont val="黑体"/>
        <family val="3"/>
        <charset val="134"/>
      </rPr>
      <t>规</t>
    </r>
    <r>
      <rPr>
        <sz val="10"/>
        <rFont val="Arial"/>
        <family val="2"/>
      </rPr>
      <t xml:space="preserve"> </t>
    </r>
    <r>
      <rPr>
        <sz val="10"/>
        <rFont val="黑体"/>
        <family val="3"/>
        <charset val="134"/>
      </rPr>
      <t xml:space="preserve">格
</t>
    </r>
    <r>
      <rPr>
        <sz val="10"/>
        <rFont val="Arial"/>
        <family val="2"/>
      </rPr>
      <t>Model specifications</t>
    </r>
  </si>
  <si>
    <r>
      <rPr>
        <sz val="10"/>
        <rFont val="黑体"/>
        <family val="3"/>
        <charset val="134"/>
      </rPr>
      <t>数</t>
    </r>
    <r>
      <rPr>
        <sz val="10"/>
        <rFont val="Arial"/>
        <family val="2"/>
      </rPr>
      <t xml:space="preserve"> </t>
    </r>
    <r>
      <rPr>
        <sz val="10"/>
        <rFont val="黑体"/>
        <family val="3"/>
        <charset val="134"/>
      </rPr>
      <t xml:space="preserve">量
</t>
    </r>
    <r>
      <rPr>
        <sz val="10"/>
        <rFont val="Arial"/>
        <family val="2"/>
      </rPr>
      <t>Quantity</t>
    </r>
  </si>
  <si>
    <t>No.Series</t>
  </si>
  <si>
    <t>Rate</t>
  </si>
  <si>
    <t>No. Asset</t>
  </si>
  <si>
    <t>Purchase date</t>
  </si>
  <si>
    <t>NO Aset Old</t>
  </si>
  <si>
    <t>Total Asset</t>
  </si>
  <si>
    <t>Injection Molding Machine</t>
  </si>
  <si>
    <t>207#</t>
  </si>
  <si>
    <t>Haitian</t>
  </si>
  <si>
    <t>MA 1600 II/540e</t>
  </si>
  <si>
    <t>380 V - 69 KW</t>
  </si>
  <si>
    <t>SINJQ000039</t>
  </si>
  <si>
    <t>2020-09-25</t>
  </si>
  <si>
    <t>SIN-ME0003</t>
  </si>
  <si>
    <t>213#</t>
  </si>
  <si>
    <t>MA 2500 II/1000e</t>
  </si>
  <si>
    <t>380 V - 93 KW</t>
  </si>
  <si>
    <t>SINJQ000037</t>
  </si>
  <si>
    <t>SIN-ME0001</t>
  </si>
  <si>
    <t>208#</t>
  </si>
  <si>
    <t>MA 2800 II/1350e</t>
  </si>
  <si>
    <t>380 V - 102 KW</t>
  </si>
  <si>
    <t>SINJQ000040</t>
  </si>
  <si>
    <t>SIN-ME0004</t>
  </si>
  <si>
    <t>220#</t>
  </si>
  <si>
    <t>MA 3800 II/2250e</t>
  </si>
  <si>
    <t>380 V - 124.18 KW</t>
  </si>
  <si>
    <t>SINJQ000012</t>
  </si>
  <si>
    <t>2018-03-25</t>
  </si>
  <si>
    <t>SIN-ME0024</t>
  </si>
  <si>
    <t>210#</t>
  </si>
  <si>
    <t>MA 5300 II/4000e</t>
  </si>
  <si>
    <t>380 V - 157.18 KW</t>
  </si>
  <si>
    <t>SINJQ000042</t>
  </si>
  <si>
    <t>SIN-ME0006</t>
  </si>
  <si>
    <t>214#</t>
  </si>
  <si>
    <t>MA 6000 II/4500</t>
  </si>
  <si>
    <t>380 V - 136 KW</t>
  </si>
  <si>
    <t>SINJQ000038</t>
  </si>
  <si>
    <t>SIN-ME0002</t>
  </si>
  <si>
    <t>221#</t>
  </si>
  <si>
    <t>SINJQ000011</t>
  </si>
  <si>
    <t>SIN-ME0023</t>
  </si>
  <si>
    <t>209#</t>
  </si>
  <si>
    <t>SINJQ000041</t>
  </si>
  <si>
    <t>SIN-ME0005</t>
  </si>
  <si>
    <t>250#</t>
  </si>
  <si>
    <t>SINJQ000026</t>
  </si>
  <si>
    <t>2018-07-25</t>
  </si>
  <si>
    <t>SIN-ME0029</t>
  </si>
  <si>
    <t>278#</t>
  </si>
  <si>
    <t>MA1600 IIS/570</t>
  </si>
  <si>
    <t>380 V - 60 KW</t>
  </si>
  <si>
    <t>SINJQ000018</t>
  </si>
  <si>
    <t>2019-09-25</t>
  </si>
  <si>
    <t>SIN-ME0033</t>
  </si>
  <si>
    <t>314#</t>
  </si>
  <si>
    <t>MA 2800 II S/eco</t>
  </si>
  <si>
    <t>380 V - 77 KW</t>
  </si>
  <si>
    <t>SINJQ000031</t>
  </si>
  <si>
    <t>2020-02-25</t>
  </si>
  <si>
    <t>SIN-ME0036</t>
  </si>
  <si>
    <t>293#</t>
  </si>
  <si>
    <t>MA 1600 II S/570</t>
  </si>
  <si>
    <t>380 V - 48 KW</t>
  </si>
  <si>
    <t>SINJQ000033</t>
  </si>
  <si>
    <t>2020-06-25</t>
  </si>
  <si>
    <t>SIN-ME0039</t>
  </si>
  <si>
    <t>332#</t>
  </si>
  <si>
    <t>MA 2500 II S/eco</t>
  </si>
  <si>
    <t>SINJQ000061</t>
  </si>
  <si>
    <t>2020-11-25</t>
  </si>
  <si>
    <t>SIN-ME0068</t>
  </si>
  <si>
    <t>341#</t>
  </si>
  <si>
    <t>MA 900II S/eco</t>
  </si>
  <si>
    <t>380 V - 46 KW</t>
  </si>
  <si>
    <t>SINJQ000067</t>
  </si>
  <si>
    <t>SIN-ME0047</t>
  </si>
  <si>
    <t>342#</t>
  </si>
  <si>
    <t>Sumitomo</t>
  </si>
  <si>
    <t>SE 180EV - A</t>
  </si>
  <si>
    <t>1L1692</t>
  </si>
  <si>
    <t>380 V - 55 KW</t>
  </si>
  <si>
    <t>SINJQ000068</t>
  </si>
  <si>
    <t>SIN-ME0043</t>
  </si>
  <si>
    <t>350#</t>
  </si>
  <si>
    <t>MA 1600 II S/eco</t>
  </si>
  <si>
    <t>SINJQ000058</t>
  </si>
  <si>
    <t>SIN-ME0065</t>
  </si>
  <si>
    <t>352#</t>
  </si>
  <si>
    <t>MA 4700 II S/eco</t>
  </si>
  <si>
    <t>380 V - 85 KW</t>
  </si>
  <si>
    <t>SINJQ000056</t>
  </si>
  <si>
    <t>SIN-ME0063</t>
  </si>
  <si>
    <t>353#</t>
  </si>
  <si>
    <t>MA 8000 II S</t>
  </si>
  <si>
    <t>380 V - 124 KW</t>
  </si>
  <si>
    <t>SINJQ000063</t>
  </si>
  <si>
    <t>SIN-ME0070</t>
  </si>
  <si>
    <t>368#</t>
  </si>
  <si>
    <t>MA 1600 III/eco</t>
  </si>
  <si>
    <t>SINJQ000094</t>
  </si>
  <si>
    <t>2021-02-25</t>
  </si>
  <si>
    <t>SIN-ME0094</t>
  </si>
  <si>
    <t>369#</t>
  </si>
  <si>
    <t>SINJQ000095</t>
  </si>
  <si>
    <t>SIN-ME0095</t>
  </si>
  <si>
    <t>370#</t>
  </si>
  <si>
    <t>SINJQ000096</t>
  </si>
  <si>
    <t>SIN-ME0096</t>
  </si>
  <si>
    <t>409#</t>
  </si>
  <si>
    <t>MA 2500 III/eco</t>
  </si>
  <si>
    <t>380 V - 56 KW</t>
  </si>
  <si>
    <t>SINJQ000116</t>
  </si>
  <si>
    <t>2021-04-25</t>
  </si>
  <si>
    <t>SIN-ME0114</t>
  </si>
  <si>
    <t>373#</t>
  </si>
  <si>
    <t>SINJQ000103</t>
  </si>
  <si>
    <t>SIN-ME0103</t>
  </si>
  <si>
    <t>372#</t>
  </si>
  <si>
    <t>SINJQ000102</t>
  </si>
  <si>
    <t>SIN-ME0102</t>
  </si>
  <si>
    <t>374#</t>
  </si>
  <si>
    <t>MA 2800 III/eco</t>
  </si>
  <si>
    <t>SINJQ000097</t>
  </si>
  <si>
    <t>SIN-ME0097</t>
  </si>
  <si>
    <t>375#</t>
  </si>
  <si>
    <t>MA 3800 III/eco</t>
  </si>
  <si>
    <t>SINJQ000098</t>
  </si>
  <si>
    <t>SIN-ME0098</t>
  </si>
  <si>
    <t>376#</t>
  </si>
  <si>
    <t>SINJQ000099</t>
  </si>
  <si>
    <t>SIN-ME0099</t>
  </si>
  <si>
    <t>371#</t>
  </si>
  <si>
    <t>SINJQ000101</t>
  </si>
  <si>
    <t>SIN-ME0101</t>
  </si>
  <si>
    <t>468#</t>
  </si>
  <si>
    <t>380 V - 66 KW</t>
  </si>
  <si>
    <t>2021-12-25</t>
  </si>
  <si>
    <t>469#</t>
  </si>
  <si>
    <t>SINJQ000136</t>
  </si>
  <si>
    <t>SIN-ME0136</t>
  </si>
  <si>
    <t>472#</t>
  </si>
  <si>
    <t>MA 4700 III/eco</t>
  </si>
  <si>
    <t>380 V - 98 KW</t>
  </si>
  <si>
    <t>SINJQ000131</t>
  </si>
  <si>
    <t>SIN-ME0130</t>
  </si>
  <si>
    <t>Robot Arm</t>
  </si>
  <si>
    <t>Hilectro</t>
  </si>
  <si>
    <t>XTA-800HD</t>
  </si>
  <si>
    <t>A08HD004419025</t>
  </si>
  <si>
    <t>220 V</t>
  </si>
  <si>
    <t>SINJQ000059</t>
  </si>
  <si>
    <t>SIN-ME0066</t>
  </si>
  <si>
    <t>A08HD004424022</t>
  </si>
  <si>
    <t>SINJQ000019</t>
  </si>
  <si>
    <t>2019-10-25</t>
  </si>
  <si>
    <t>SIN-ME0035</t>
  </si>
  <si>
    <t>A08HD004424021</t>
  </si>
  <si>
    <t>SINJQ000060</t>
  </si>
  <si>
    <t>SIN-ME0067</t>
  </si>
  <si>
    <t>A08HD003124002</t>
  </si>
  <si>
    <t>SINJQ000062</t>
  </si>
  <si>
    <t>SIN-ME0069</t>
  </si>
  <si>
    <t>A08HD004616047</t>
  </si>
  <si>
    <t>SINJQ000104</t>
  </si>
  <si>
    <t>SIN-ME0104</t>
  </si>
  <si>
    <t>A08HD20160510013</t>
  </si>
  <si>
    <t xml:space="preserve">220 V </t>
  </si>
  <si>
    <t>SINJQ000022</t>
  </si>
  <si>
    <t>2017-11-25</t>
  </si>
  <si>
    <t>SIN-ME0009</t>
  </si>
  <si>
    <t>A08HD004616046</t>
  </si>
  <si>
    <t>SINJQ000105</t>
  </si>
  <si>
    <t>SIN-ME0105</t>
  </si>
  <si>
    <t>A08HD004616048</t>
  </si>
  <si>
    <t>SINJQ000106</t>
  </si>
  <si>
    <t>SIN-ME0106</t>
  </si>
  <si>
    <t>XTA-900HD</t>
  </si>
  <si>
    <t>A09HD003518005</t>
  </si>
  <si>
    <t>SINJQ000032</t>
  </si>
  <si>
    <t>SIN-ME0037</t>
  </si>
  <si>
    <t>A09HD20160918001</t>
  </si>
  <si>
    <t>SINJQ000020</t>
  </si>
  <si>
    <t>SIN-ME0007</t>
  </si>
  <si>
    <t>A09HD004616045</t>
  </si>
  <si>
    <t>SINJQ000110</t>
  </si>
  <si>
    <t>SIN-ME0110</t>
  </si>
  <si>
    <t>A09HD004809022</t>
  </si>
  <si>
    <t>SINJQ000117</t>
  </si>
  <si>
    <t>SIN-ME0115</t>
  </si>
  <si>
    <t>SINJQ000109</t>
  </si>
  <si>
    <t>SIN-ME0109</t>
  </si>
  <si>
    <t>A09HD004616044</t>
  </si>
  <si>
    <t>SINJQ000108</t>
  </si>
  <si>
    <t>SIN-ME0108</t>
  </si>
  <si>
    <t>A09HD004616042</t>
  </si>
  <si>
    <t>SINJQ000107</t>
  </si>
  <si>
    <t>SIN-ME0107</t>
  </si>
  <si>
    <t>A09HD00442402</t>
  </si>
  <si>
    <t>SINJQ000043</t>
  </si>
  <si>
    <t>2020-10-25</t>
  </si>
  <si>
    <t>SIN-ME0046</t>
  </si>
  <si>
    <t>XTA-1100HD</t>
  </si>
  <si>
    <t>210801TA11HD0011</t>
  </si>
  <si>
    <t>201 - 240V</t>
  </si>
  <si>
    <t>SINJQ000135</t>
  </si>
  <si>
    <t>SIN-ME0135</t>
  </si>
  <si>
    <t>A11HD001133001</t>
  </si>
  <si>
    <t>SINJQ000014</t>
  </si>
  <si>
    <t>SIN-ME0026</t>
  </si>
  <si>
    <t>A11HD001133002</t>
  </si>
  <si>
    <t>SINJQ000013</t>
  </si>
  <si>
    <t>SIN-ME0025</t>
  </si>
  <si>
    <t>A11HD000601001</t>
  </si>
  <si>
    <t>SINJQ000024</t>
  </si>
  <si>
    <t>SIN-ME0011</t>
  </si>
  <si>
    <t>A11HD001323001</t>
  </si>
  <si>
    <t>SINJQ000027</t>
  </si>
  <si>
    <t>SIN-ME0030</t>
  </si>
  <si>
    <t>A11HD004616049</t>
  </si>
  <si>
    <t>SINJQ000111</t>
  </si>
  <si>
    <t>SIN-ME0111</t>
  </si>
  <si>
    <t>A11HD004616051</t>
  </si>
  <si>
    <t>SINJQ000112</t>
  </si>
  <si>
    <t>SIN-ME0112</t>
  </si>
  <si>
    <t>XTA-1300HD</t>
  </si>
  <si>
    <t>A13HD000601001</t>
  </si>
  <si>
    <t>SINJQ000021</t>
  </si>
  <si>
    <t>SIN-ME0008</t>
  </si>
  <si>
    <t>A13HD000626001</t>
  </si>
  <si>
    <t>SINJQ000025</t>
  </si>
  <si>
    <t>SIN-ME0012</t>
  </si>
  <si>
    <t>XTA-1500HD</t>
  </si>
  <si>
    <t>A15HD004424038</t>
  </si>
  <si>
    <t>SINJQ000064</t>
  </si>
  <si>
    <t>SIN-ME0071</t>
  </si>
  <si>
    <t>Yudo</t>
  </si>
  <si>
    <t>SOMA-508is II</t>
  </si>
  <si>
    <t>SINJQ000036</t>
  </si>
  <si>
    <t>SIN-ME0041</t>
  </si>
  <si>
    <t>A09HD000506001</t>
  </si>
  <si>
    <t>SINJQ000023</t>
  </si>
  <si>
    <t>SIN-ME0010</t>
  </si>
  <si>
    <t>A11HD004424024</t>
  </si>
  <si>
    <t>SINJQ000057</t>
  </si>
  <si>
    <t>SIN-ME0064</t>
  </si>
  <si>
    <t>210801TA11HD0091</t>
  </si>
  <si>
    <t>200 - 240 V</t>
  </si>
  <si>
    <t>210801TA11HD0092</t>
  </si>
  <si>
    <t>Dehumdifying Unit</t>
  </si>
  <si>
    <t>Shini</t>
  </si>
  <si>
    <t>SCD 160U</t>
  </si>
  <si>
    <t>3DU00000315</t>
  </si>
  <si>
    <t>380 V - 11.65 KW</t>
  </si>
  <si>
    <t>SINJQ000005</t>
  </si>
  <si>
    <t>2017-10-25</t>
  </si>
  <si>
    <t>SIN-ME0017</t>
  </si>
  <si>
    <t>3DU00000318</t>
  </si>
  <si>
    <t>3DU00000601</t>
  </si>
  <si>
    <t>SCD 230U</t>
  </si>
  <si>
    <t>3DU00000332</t>
  </si>
  <si>
    <t>SINJQ000006</t>
  </si>
  <si>
    <t>SIN-ME0018</t>
  </si>
  <si>
    <t>3DU00000331</t>
  </si>
  <si>
    <t>SINJQ000008</t>
  </si>
  <si>
    <t>SIN-ME0020</t>
  </si>
  <si>
    <t>3DU00000317</t>
  </si>
  <si>
    <t>SINJQ000007</t>
  </si>
  <si>
    <t>SIN-ME0019</t>
  </si>
  <si>
    <t>3DU00000316</t>
  </si>
  <si>
    <t>SINJQ000015</t>
  </si>
  <si>
    <t>2018-04-25</t>
  </si>
  <si>
    <t>SIN-ME0027</t>
  </si>
  <si>
    <t>3DU00000602</t>
  </si>
  <si>
    <t>3DU00000604</t>
  </si>
  <si>
    <t>SINJQ000029</t>
  </si>
  <si>
    <t>SIN-ME0032</t>
  </si>
  <si>
    <t>Matsui</t>
  </si>
  <si>
    <t>MJ3 - 50A</t>
  </si>
  <si>
    <t>76-000213-04045</t>
  </si>
  <si>
    <t>380 V - 6,4 KW</t>
  </si>
  <si>
    <t>SINJQ000035</t>
  </si>
  <si>
    <t>SIN-ME0042</t>
  </si>
  <si>
    <t>Soxi</t>
  </si>
  <si>
    <t>SX-50</t>
  </si>
  <si>
    <t>021141</t>
  </si>
  <si>
    <t>4 KW</t>
  </si>
  <si>
    <t>SINJQ000044</t>
  </si>
  <si>
    <t>SIN-ME0048</t>
  </si>
  <si>
    <t>021142</t>
  </si>
  <si>
    <t>SINJQ000045</t>
  </si>
  <si>
    <t>SIN-ME0049</t>
  </si>
  <si>
    <t>021140</t>
  </si>
  <si>
    <t>SINJQ000046</t>
  </si>
  <si>
    <t>SIN-ME0050</t>
  </si>
  <si>
    <t>SX-75</t>
  </si>
  <si>
    <t>021147</t>
  </si>
  <si>
    <t>SINJQ000047</t>
  </si>
  <si>
    <t>SIN-ME0051</t>
  </si>
  <si>
    <t>SX-100</t>
  </si>
  <si>
    <t>021153</t>
  </si>
  <si>
    <t>5 KW</t>
  </si>
  <si>
    <t>SINJQ000048</t>
  </si>
  <si>
    <t>SIN-ME0052</t>
  </si>
  <si>
    <t>SX-150</t>
  </si>
  <si>
    <t>021154</t>
  </si>
  <si>
    <t>7 KW</t>
  </si>
  <si>
    <t>SINJQ000049</t>
  </si>
  <si>
    <t>SIN-ME0053</t>
  </si>
  <si>
    <t>021223</t>
  </si>
  <si>
    <t>SINJQ000072</t>
  </si>
  <si>
    <t>2021-01-25</t>
  </si>
  <si>
    <t>SIN-ME0072</t>
  </si>
  <si>
    <t>021219</t>
  </si>
  <si>
    <t>SINJQ000074</t>
  </si>
  <si>
    <t>SIN-ME0074</t>
  </si>
  <si>
    <t>021218</t>
  </si>
  <si>
    <t>SINJQ000075</t>
  </si>
  <si>
    <t>SIN-ME0075</t>
  </si>
  <si>
    <t>021217</t>
  </si>
  <si>
    <t>SINJQ000076</t>
  </si>
  <si>
    <t>SIN-ME0076</t>
  </si>
  <si>
    <t>021221</t>
  </si>
  <si>
    <t>SINJQ000077</t>
  </si>
  <si>
    <t>SIN-ME0077</t>
  </si>
  <si>
    <t>021222</t>
  </si>
  <si>
    <t>SINJQ000078</t>
  </si>
  <si>
    <t>SIN-ME0078</t>
  </si>
  <si>
    <t>021220</t>
  </si>
  <si>
    <t>SINJQ000079</t>
  </si>
  <si>
    <t>SIN-ME0079</t>
  </si>
  <si>
    <t>SINJQ000080</t>
  </si>
  <si>
    <t>SIN-ME0080</t>
  </si>
  <si>
    <t>021224</t>
  </si>
  <si>
    <t>SINJQ000081</t>
  </si>
  <si>
    <t>SIN-ME0081</t>
  </si>
  <si>
    <t>021225</t>
  </si>
  <si>
    <t>SINJQ000082</t>
  </si>
  <si>
    <t>SIN-ME0082</t>
  </si>
  <si>
    <t>022883</t>
  </si>
  <si>
    <t>SINJQ000120</t>
  </si>
  <si>
    <t>2021-11-25</t>
  </si>
  <si>
    <t>SIN-ME0122</t>
  </si>
  <si>
    <t>022884</t>
  </si>
  <si>
    <t>SINJQ000121</t>
  </si>
  <si>
    <t>SIN-ME0123</t>
  </si>
  <si>
    <t>022885</t>
  </si>
  <si>
    <t>SINJQ000124</t>
  </si>
  <si>
    <t>SIN-ME0121</t>
  </si>
  <si>
    <t>Hopper Drayer</t>
  </si>
  <si>
    <t>Tcon</t>
  </si>
  <si>
    <t>THD - 50</t>
  </si>
  <si>
    <t>SINQT000113</t>
  </si>
  <si>
    <t>SIN-OE0142</t>
  </si>
  <si>
    <t>SINQT000146</t>
  </si>
  <si>
    <t>2020-01-25</t>
  </si>
  <si>
    <t>SIN-OE0151</t>
  </si>
  <si>
    <t>Auto Loader (suction Feeder)</t>
  </si>
  <si>
    <t>PL - 120</t>
  </si>
  <si>
    <t>1906-8120</t>
  </si>
  <si>
    <t>1.5 KW</t>
  </si>
  <si>
    <t>SINQT000110</t>
  </si>
  <si>
    <t>SIN-OE0139</t>
  </si>
  <si>
    <t>1911-8131</t>
  </si>
  <si>
    <t>SINQT000145</t>
  </si>
  <si>
    <t>SIN-OE0150</t>
  </si>
  <si>
    <t>Mold Temperature Controller</t>
  </si>
  <si>
    <t>STM - 910W</t>
  </si>
  <si>
    <t>003</t>
  </si>
  <si>
    <t>3WH00000733</t>
  </si>
  <si>
    <t>380 V - 9.75 KW</t>
  </si>
  <si>
    <t>SINJQ000004</t>
  </si>
  <si>
    <t>SIN-ME0016</t>
  </si>
  <si>
    <t>005</t>
  </si>
  <si>
    <t>3WH00000729</t>
  </si>
  <si>
    <t>001</t>
  </si>
  <si>
    <t>3WH00000731</t>
  </si>
  <si>
    <t>004</t>
  </si>
  <si>
    <t>3WH00000730</t>
  </si>
  <si>
    <t>008</t>
  </si>
  <si>
    <t>3WH00001250</t>
  </si>
  <si>
    <t>SINJQ000009</t>
  </si>
  <si>
    <t>SIN-ME0021</t>
  </si>
  <si>
    <t>006</t>
  </si>
  <si>
    <t>3WH00000734</t>
  </si>
  <si>
    <t>002</t>
  </si>
  <si>
    <t>3WH00000732</t>
  </si>
  <si>
    <t>SINJQ000016</t>
  </si>
  <si>
    <t>SIN-ME0028</t>
  </si>
  <si>
    <t>007</t>
  </si>
  <si>
    <t>3WH00000249</t>
  </si>
  <si>
    <t>MTW - 610</t>
  </si>
  <si>
    <t>010</t>
  </si>
  <si>
    <t>1906-6115</t>
  </si>
  <si>
    <t>SINJQ000017</t>
  </si>
  <si>
    <t>SIN-ME0034</t>
  </si>
  <si>
    <t>009</t>
  </si>
  <si>
    <t>3WH00000377</t>
  </si>
  <si>
    <t>SINJQ000028</t>
  </si>
  <si>
    <t>SIN-ME0031</t>
  </si>
  <si>
    <t>011</t>
  </si>
  <si>
    <t>1911-8151</t>
  </si>
  <si>
    <t>380 V - 6.75 KW</t>
  </si>
  <si>
    <t>SINJQ000030</t>
  </si>
  <si>
    <t>SIN-ME0038</t>
  </si>
  <si>
    <t>012</t>
  </si>
  <si>
    <t>Kawata</t>
  </si>
  <si>
    <t>TW-200LA-KS</t>
  </si>
  <si>
    <t>TW19111521AA</t>
  </si>
  <si>
    <t>380 V - 6.70 KW</t>
  </si>
  <si>
    <t>SINJQ000034</t>
  </si>
  <si>
    <t>SIN-ME0040</t>
  </si>
  <si>
    <t>SD - 20</t>
  </si>
  <si>
    <t>014</t>
  </si>
  <si>
    <t>021156</t>
  </si>
  <si>
    <t>380V - 12 KW</t>
  </si>
  <si>
    <t>SINJQ000050</t>
  </si>
  <si>
    <t>SIN-ME0054</t>
  </si>
  <si>
    <t>023</t>
  </si>
  <si>
    <t>021157</t>
  </si>
  <si>
    <t>SINJQ000051</t>
  </si>
  <si>
    <t>SIN-ME0055</t>
  </si>
  <si>
    <t>017</t>
  </si>
  <si>
    <t>021159</t>
  </si>
  <si>
    <t>SINJQ000052</t>
  </si>
  <si>
    <t>SIN-ME0056</t>
  </si>
  <si>
    <t>016</t>
  </si>
  <si>
    <t>021158</t>
  </si>
  <si>
    <t>SINJQ000053</t>
  </si>
  <si>
    <t>SIN-ME0057</t>
  </si>
  <si>
    <t>028</t>
  </si>
  <si>
    <t>021236</t>
  </si>
  <si>
    <t>SINJQ000054</t>
  </si>
  <si>
    <t>SIN-ME0058</t>
  </si>
  <si>
    <t>027</t>
  </si>
  <si>
    <t>021235</t>
  </si>
  <si>
    <t>SINJQ000055</t>
  </si>
  <si>
    <t>SIN-ME0059</t>
  </si>
  <si>
    <t>029</t>
  </si>
  <si>
    <t>021434</t>
  </si>
  <si>
    <t>SINJQ000073</t>
  </si>
  <si>
    <t>SIN-ME0073</t>
  </si>
  <si>
    <t>018</t>
  </si>
  <si>
    <t>021160</t>
  </si>
  <si>
    <t>SINJQ000084</t>
  </si>
  <si>
    <t>SIN-ME0084</t>
  </si>
  <si>
    <t>035</t>
  </si>
  <si>
    <t>021155</t>
  </si>
  <si>
    <t>SINJQ000085</t>
  </si>
  <si>
    <t>SIN-ME0085</t>
  </si>
  <si>
    <t>024</t>
  </si>
  <si>
    <t>021232</t>
  </si>
  <si>
    <t>SINJQ000086</t>
  </si>
  <si>
    <t>SIN-ME0086</t>
  </si>
  <si>
    <t>025</t>
  </si>
  <si>
    <t>021233</t>
  </si>
  <si>
    <t>SINJQ000087</t>
  </si>
  <si>
    <t>SIN-ME0087</t>
  </si>
  <si>
    <t>021231</t>
  </si>
  <si>
    <t>SINJQ000088</t>
  </si>
  <si>
    <t>SIN-ME0088</t>
  </si>
  <si>
    <t>026</t>
  </si>
  <si>
    <t>021234</t>
  </si>
  <si>
    <t>SINJQ000089</t>
  </si>
  <si>
    <t>SIN-ME0089</t>
  </si>
  <si>
    <t>019</t>
  </si>
  <si>
    <t>021227</t>
  </si>
  <si>
    <t>SINJQ000090</t>
  </si>
  <si>
    <t>SIN-ME0090</t>
  </si>
  <si>
    <t>022</t>
  </si>
  <si>
    <t>021230</t>
  </si>
  <si>
    <t>SINJQ000091</t>
  </si>
  <si>
    <t>SIN-ME0091</t>
  </si>
  <si>
    <t>020</t>
  </si>
  <si>
    <t>021228</t>
  </si>
  <si>
    <t>SINJQ000093</t>
  </si>
  <si>
    <t>SIN-ME0093</t>
  </si>
  <si>
    <t>TW-600LA-KS</t>
  </si>
  <si>
    <t>013</t>
  </si>
  <si>
    <t>KAWATA</t>
  </si>
  <si>
    <t>SINJQ000115</t>
  </si>
  <si>
    <t>SIN-ME0117</t>
  </si>
  <si>
    <t>031</t>
  </si>
  <si>
    <t>022890</t>
  </si>
  <si>
    <t>SINJQ000126</t>
  </si>
  <si>
    <t>SIN-ME0125</t>
  </si>
  <si>
    <t>021</t>
  </si>
  <si>
    <t>021229</t>
  </si>
  <si>
    <t>SINJQ000092</t>
  </si>
  <si>
    <t>SIN-ME0092</t>
  </si>
  <si>
    <t>030</t>
  </si>
  <si>
    <t>022889</t>
  </si>
  <si>
    <t>SINJQ000129</t>
  </si>
  <si>
    <t>SIN-ME0128</t>
  </si>
  <si>
    <t>Hot Runner Controller</t>
  </si>
  <si>
    <t>MOULD TIP</t>
  </si>
  <si>
    <t>4 Zone</t>
  </si>
  <si>
    <t>N/A</t>
  </si>
  <si>
    <t>380V</t>
  </si>
  <si>
    <t>SINJQ000001</t>
  </si>
  <si>
    <t>SIN-ME0013</t>
  </si>
  <si>
    <t>6 Zone</t>
  </si>
  <si>
    <t>SINJQ000002</t>
  </si>
  <si>
    <t>SIN-ME0014</t>
  </si>
  <si>
    <t>8 Zone</t>
  </si>
  <si>
    <t>SINJQ000003</t>
  </si>
  <si>
    <t>SIN-ME0015</t>
  </si>
  <si>
    <t>SINJQ000010</t>
  </si>
  <si>
    <t>2017-12-25</t>
  </si>
  <si>
    <t>SIN-ME0022</t>
  </si>
  <si>
    <t>SINQT000276</t>
  </si>
  <si>
    <t>2020-12-25</t>
  </si>
  <si>
    <t>SIN-OE0286</t>
  </si>
  <si>
    <t>015</t>
  </si>
  <si>
    <t>SINQT000111</t>
  </si>
  <si>
    <t>SIN-OE0140</t>
  </si>
  <si>
    <t>SINQT000125</t>
  </si>
  <si>
    <t>SIN-OE0126</t>
  </si>
  <si>
    <t>SINQT000207</t>
  </si>
  <si>
    <t>SIN-OE0214</t>
  </si>
  <si>
    <t>SINQT000277</t>
  </si>
  <si>
    <t>SIN-OE0287</t>
  </si>
  <si>
    <t>SINQT000279</t>
  </si>
  <si>
    <t>SIN-OE0289</t>
  </si>
  <si>
    <t>SINQT000280</t>
  </si>
  <si>
    <t>SIN-OE0290</t>
  </si>
  <si>
    <t>SINQT000281</t>
  </si>
  <si>
    <t>SIN-OE0291</t>
  </si>
  <si>
    <t>SINQT000282</t>
  </si>
  <si>
    <t>SIN-OE0292</t>
  </si>
  <si>
    <t>SINQT000283</t>
  </si>
  <si>
    <t>SIN-OE0293</t>
  </si>
  <si>
    <t>SINQT000284</t>
  </si>
  <si>
    <t>SIN-OE0294</t>
  </si>
  <si>
    <t>SINQT000285</t>
  </si>
  <si>
    <t>SIN-OE0295</t>
  </si>
  <si>
    <t>SINQT000286</t>
  </si>
  <si>
    <t>SIN-OE0296</t>
  </si>
  <si>
    <t>SINQT000287</t>
  </si>
  <si>
    <t>SIN-OE0297</t>
  </si>
  <si>
    <t>SINQT000309</t>
  </si>
  <si>
    <t>SIN-OE0237</t>
  </si>
  <si>
    <t>SINQT000310</t>
  </si>
  <si>
    <t>SIN-OE0238</t>
  </si>
  <si>
    <t>SINQT000311</t>
  </si>
  <si>
    <t>SIN-OE0239</t>
  </si>
  <si>
    <t>SINQT000312</t>
  </si>
  <si>
    <t>SIN-OE0240</t>
  </si>
  <si>
    <t>SINQT000313</t>
  </si>
  <si>
    <t>SIN-OE0241</t>
  </si>
  <si>
    <t>SINQT000314</t>
  </si>
  <si>
    <t>SIN-OE0242</t>
  </si>
  <si>
    <t>SINQT000423</t>
  </si>
  <si>
    <t>SIN-OE0426</t>
  </si>
  <si>
    <t>SINQT000424</t>
  </si>
  <si>
    <t>SIN-OE0427</t>
  </si>
  <si>
    <t>SINQT000425</t>
  </si>
  <si>
    <t>SIN-OE0428</t>
  </si>
  <si>
    <t>SINQT000426</t>
  </si>
  <si>
    <t>SIN-OE0429</t>
  </si>
  <si>
    <t>SINQT000427</t>
  </si>
  <si>
    <t>SIN-OE0430</t>
  </si>
  <si>
    <t>Conveyor Belt</t>
  </si>
  <si>
    <t>015#</t>
  </si>
  <si>
    <t>2500L x 400W</t>
  </si>
  <si>
    <t>220V</t>
  </si>
  <si>
    <t>SINQT000024</t>
  </si>
  <si>
    <t>SIN-OE0035</t>
  </si>
  <si>
    <t>017#</t>
  </si>
  <si>
    <t>019#</t>
  </si>
  <si>
    <t>3000L x 400W</t>
  </si>
  <si>
    <t>SINQT000025</t>
  </si>
  <si>
    <t>SIN-OE0036</t>
  </si>
  <si>
    <t>010#</t>
  </si>
  <si>
    <t>3500L x 400W</t>
  </si>
  <si>
    <t>SINQT000026</t>
  </si>
  <si>
    <t>SIN-OE0037</t>
  </si>
  <si>
    <t>011#</t>
  </si>
  <si>
    <t>026#</t>
  </si>
  <si>
    <t>1500L x 400W</t>
  </si>
  <si>
    <t>SINQT000109</t>
  </si>
  <si>
    <t>SIN-OE0138</t>
  </si>
  <si>
    <t>001#</t>
  </si>
  <si>
    <t>SS-1803024-1-D-02</t>
  </si>
  <si>
    <t>SINQT000123</t>
  </si>
  <si>
    <t>SIN-OE0124</t>
  </si>
  <si>
    <t>020#</t>
  </si>
  <si>
    <t>SS-1803024-1-D-07</t>
  </si>
  <si>
    <t>021#</t>
  </si>
  <si>
    <t>SS-1803024-1-D-01</t>
  </si>
  <si>
    <t>022#</t>
  </si>
  <si>
    <t>2000L x 400W</t>
  </si>
  <si>
    <t>SS-1803024-1-D-06</t>
  </si>
  <si>
    <t>SINQT000124</t>
  </si>
  <si>
    <t>SIN-OE0125</t>
  </si>
  <si>
    <t>004#</t>
  </si>
  <si>
    <t>SSJ-191129-S-01</t>
  </si>
  <si>
    <t>SINQT000143</t>
  </si>
  <si>
    <t>SIN-OE0148</t>
  </si>
  <si>
    <t>SINQT000209</t>
  </si>
  <si>
    <t>SIN-OE0213</t>
  </si>
  <si>
    <t>023#</t>
  </si>
  <si>
    <t>SSJ-20200924-S-04</t>
  </si>
  <si>
    <t>SINQT000233</t>
  </si>
  <si>
    <t>SIN-OE0243</t>
  </si>
  <si>
    <t>009#</t>
  </si>
  <si>
    <t>2500L x 600W</t>
  </si>
  <si>
    <t>SSJ-20200924-S-06</t>
  </si>
  <si>
    <t>SINQT000234</t>
  </si>
  <si>
    <t>SIN-OE0244</t>
  </si>
  <si>
    <t>002#</t>
  </si>
  <si>
    <t>1600L x 400W</t>
  </si>
  <si>
    <t>SSJ-20200924-S-03</t>
  </si>
  <si>
    <t>SINQT000235</t>
  </si>
  <si>
    <t>SIN-OE0245</t>
  </si>
  <si>
    <t>SINQT000236</t>
  </si>
  <si>
    <t>SIN-OE0246</t>
  </si>
  <si>
    <t>028#</t>
  </si>
  <si>
    <t>SSJ-20200924-S-01</t>
  </si>
  <si>
    <t>SINQT000237</t>
  </si>
  <si>
    <t>SIN-OE0247</t>
  </si>
  <si>
    <t>SINQT000238</t>
  </si>
  <si>
    <t>SIN-OE0248</t>
  </si>
  <si>
    <t>025#</t>
  </si>
  <si>
    <t>SSJ-20200122-S-04</t>
  </si>
  <si>
    <t>SINQT000360</t>
  </si>
  <si>
    <t>SIN-OE0333</t>
  </si>
  <si>
    <t>013#</t>
  </si>
  <si>
    <t>SSJ-20200122-S-01</t>
  </si>
  <si>
    <t>SINQT000361</t>
  </si>
  <si>
    <t>SIN-OE0334</t>
  </si>
  <si>
    <t>024#</t>
  </si>
  <si>
    <t>SSJ-20201222-S-03</t>
  </si>
  <si>
    <t>SINQT000362</t>
  </si>
  <si>
    <t>SIN-OE0335</t>
  </si>
  <si>
    <t>016#</t>
  </si>
  <si>
    <t>SSJ-20201222-S-02</t>
  </si>
  <si>
    <t>SINQT000363</t>
  </si>
  <si>
    <t>SIN-OE0336</t>
  </si>
  <si>
    <t>030#</t>
  </si>
  <si>
    <t>SINQT000364</t>
  </si>
  <si>
    <t>SIN-OE0337</t>
  </si>
  <si>
    <t>008#</t>
  </si>
  <si>
    <t>SINQT000365</t>
  </si>
  <si>
    <t>SIN-OE0338</t>
  </si>
  <si>
    <t>018#</t>
  </si>
  <si>
    <t>SSJ-20200122-S-02</t>
  </si>
  <si>
    <t>SINQT000366</t>
  </si>
  <si>
    <t>SIN-OE0339</t>
  </si>
  <si>
    <t>SINQT000367</t>
  </si>
  <si>
    <t>SIN-OE0340</t>
  </si>
  <si>
    <t>006#</t>
  </si>
  <si>
    <t>SSJ20200924-S-02</t>
  </si>
  <si>
    <t>SINQT000368</t>
  </si>
  <si>
    <t>SIN-OE0341</t>
  </si>
  <si>
    <t>003#</t>
  </si>
  <si>
    <t>SSJ-20201222-S-05</t>
  </si>
  <si>
    <t>SINQT000369</t>
  </si>
  <si>
    <t>SIN-OE0342</t>
  </si>
  <si>
    <t>029#</t>
  </si>
  <si>
    <t>SSJ-20201222-S-06</t>
  </si>
  <si>
    <t>SINQT000370</t>
  </si>
  <si>
    <t>SIN-OE0343</t>
  </si>
  <si>
    <t>SINQT000395</t>
  </si>
  <si>
    <t>2021-05-25</t>
  </si>
  <si>
    <t>SIN-OE0399</t>
  </si>
  <si>
    <t>005#</t>
  </si>
  <si>
    <t>SINQT000396</t>
  </si>
  <si>
    <t>SIN-OE0400</t>
  </si>
  <si>
    <t>012#</t>
  </si>
  <si>
    <t>SSJ-20210915-S-01</t>
  </si>
  <si>
    <t>SINQT000416</t>
  </si>
  <si>
    <t>2021-10-25</t>
  </si>
  <si>
    <t>SIN-OE0420</t>
  </si>
  <si>
    <t>007#</t>
  </si>
  <si>
    <t>SSJ-20200915-S-01</t>
  </si>
  <si>
    <t>SINQT000417</t>
  </si>
  <si>
    <t>SIN-OE0421</t>
  </si>
  <si>
    <t>027#</t>
  </si>
  <si>
    <t>SSJ-20210915-S-02</t>
  </si>
  <si>
    <t>SINQT000418</t>
  </si>
  <si>
    <t>SIN-OE0422</t>
  </si>
  <si>
    <t>SINQT000419</t>
  </si>
  <si>
    <t>SIN-OE0423</t>
  </si>
  <si>
    <t>014#</t>
  </si>
  <si>
    <t>SSJ-20210915-S-03</t>
  </si>
  <si>
    <t>SINQT000420</t>
  </si>
  <si>
    <t>SIN-OE0424</t>
  </si>
  <si>
    <t>Grinding Machine</t>
  </si>
  <si>
    <t>CRUSHING 1</t>
  </si>
  <si>
    <t>Supersun</t>
  </si>
  <si>
    <t>SPGPJ - 400</t>
  </si>
  <si>
    <t>P1709014</t>
  </si>
  <si>
    <t>380 V - 7.5 KW</t>
  </si>
  <si>
    <t>TE0004</t>
  </si>
  <si>
    <t>CRUSHING 2</t>
  </si>
  <si>
    <t>P1709015</t>
  </si>
  <si>
    <t>TGL - 200</t>
  </si>
  <si>
    <t>1903-2103</t>
  </si>
  <si>
    <t>380 V - 1.5 KW</t>
  </si>
  <si>
    <t>SINQT000108</t>
  </si>
  <si>
    <t>2019-05-25</t>
  </si>
  <si>
    <t>SIN-OE0136</t>
  </si>
  <si>
    <t>1903-2104</t>
  </si>
  <si>
    <t>SINQT000129</t>
  </si>
  <si>
    <t>SIN-OE0134</t>
  </si>
  <si>
    <t>SPGL-3130</t>
  </si>
  <si>
    <t>SINQT000213</t>
  </si>
  <si>
    <t>2020-07-25</t>
  </si>
  <si>
    <t>SIN-OE0218</t>
  </si>
  <si>
    <t>SINQT000327</t>
  </si>
  <si>
    <t>SIN-OE0344</t>
  </si>
  <si>
    <t>SINQT000328</t>
  </si>
  <si>
    <t>SIN-OE0345</t>
  </si>
  <si>
    <t>SINQT000329</t>
  </si>
  <si>
    <t>SIN-OE0346</t>
  </si>
  <si>
    <t>SINQT000330</t>
  </si>
  <si>
    <t>SIN-OE0347</t>
  </si>
  <si>
    <t>SINQT000331</t>
  </si>
  <si>
    <t>SIN-OE0348</t>
  </si>
  <si>
    <t>SINQT000332</t>
  </si>
  <si>
    <t>SIN-OE0349</t>
  </si>
  <si>
    <t>SINQT000333</t>
  </si>
  <si>
    <t>SIN-OE0350</t>
  </si>
  <si>
    <t>SINQT000334</t>
  </si>
  <si>
    <t>SIN-OE0351</t>
  </si>
  <si>
    <t>SINQT000335</t>
  </si>
  <si>
    <t>SIN-OE0352</t>
  </si>
  <si>
    <t>SINQT000336</t>
  </si>
  <si>
    <t>SIN-OE0353</t>
  </si>
  <si>
    <t>SINQT000337</t>
  </si>
  <si>
    <t>SIN-OE0354</t>
  </si>
  <si>
    <t>SINQT000338</t>
  </si>
  <si>
    <t>SIN-OE0355</t>
  </si>
  <si>
    <t>SPGL-3142</t>
  </si>
  <si>
    <t>380 V - 2.2 KW</t>
  </si>
  <si>
    <t>SINQT000339</t>
  </si>
  <si>
    <t>SIN-OE0356</t>
  </si>
  <si>
    <t>SINQT000340</t>
  </si>
  <si>
    <t>SIN-OE0357</t>
  </si>
  <si>
    <t>SINQT000341</t>
  </si>
  <si>
    <t>SIN-OE0358</t>
  </si>
  <si>
    <t>SINQT000371</t>
  </si>
  <si>
    <t>2021-03-25</t>
  </si>
  <si>
    <t>SIN-OE0375</t>
  </si>
  <si>
    <t>SINQT000372</t>
  </si>
  <si>
    <t>SIN-OE0376</t>
  </si>
  <si>
    <t>032</t>
  </si>
  <si>
    <t>SINQT000404</t>
  </si>
  <si>
    <t>2021-08-25</t>
  </si>
  <si>
    <t>SIN-OE0408</t>
  </si>
  <si>
    <t>SINQT000405</t>
  </si>
  <si>
    <t>SIN-OE0409</t>
  </si>
  <si>
    <t>SINQT000406</t>
  </si>
  <si>
    <t>2021-09-25</t>
  </si>
  <si>
    <t>SIN-OE0410</t>
  </si>
  <si>
    <t>SINQT000407</t>
  </si>
  <si>
    <t>SIN-OE0411</t>
  </si>
  <si>
    <t>SINQT000408</t>
  </si>
  <si>
    <t>SIN-OE0412</t>
  </si>
  <si>
    <t>SINQT000409</t>
  </si>
  <si>
    <t>SIN-OE0413</t>
  </si>
  <si>
    <t>SINQT000434</t>
  </si>
  <si>
    <t>2022-06-25</t>
  </si>
  <si>
    <t>SIN-OE0438</t>
  </si>
  <si>
    <t>SINQT000435</t>
  </si>
  <si>
    <t>SIN-OE0439</t>
  </si>
  <si>
    <t>SINQT000436</t>
  </si>
  <si>
    <t>SIN-OE0440</t>
  </si>
  <si>
    <t>SINQT000437</t>
  </si>
  <si>
    <t>SIN-OE0441</t>
  </si>
  <si>
    <t>SINQT000438</t>
  </si>
  <si>
    <t>SIN-OE0442</t>
  </si>
  <si>
    <t>Assembling Riveting Machine</t>
  </si>
  <si>
    <t>55#</t>
  </si>
  <si>
    <t>450H</t>
  </si>
  <si>
    <t>220 V / 3.0 KW</t>
  </si>
  <si>
    <t>SINJQ000065</t>
  </si>
  <si>
    <t>SIN-ME0044</t>
  </si>
  <si>
    <t>57#</t>
  </si>
  <si>
    <t>350H</t>
  </si>
  <si>
    <t>SINJQ000066</t>
  </si>
  <si>
    <t>SIN-ME0045</t>
  </si>
  <si>
    <t>61#</t>
  </si>
  <si>
    <t>SINJQ000069</t>
  </si>
  <si>
    <t>SIN-ME0060</t>
  </si>
  <si>
    <t>62#</t>
  </si>
  <si>
    <t>SINJQ000070</t>
  </si>
  <si>
    <t>SIN-ME0061</t>
  </si>
  <si>
    <t>63#</t>
  </si>
  <si>
    <t>SINJQ000071</t>
  </si>
  <si>
    <t>SIN-ME0062</t>
  </si>
  <si>
    <t>71#</t>
  </si>
  <si>
    <t>SINJQ000118</t>
  </si>
  <si>
    <t>2021-06-25</t>
  </si>
  <si>
    <t>SIN-ME0118</t>
  </si>
  <si>
    <t>77#</t>
  </si>
  <si>
    <t>220 V / 2.6 KW</t>
  </si>
  <si>
    <t>SINJQ000137</t>
  </si>
  <si>
    <t>SIN-ME0137</t>
  </si>
  <si>
    <t>76#</t>
  </si>
  <si>
    <t>720H</t>
  </si>
  <si>
    <t>SINJQ000138</t>
  </si>
  <si>
    <t>SIN-ME0138</t>
  </si>
  <si>
    <t>16#</t>
  </si>
  <si>
    <t>LIYUAN</t>
  </si>
  <si>
    <t>300H</t>
  </si>
  <si>
    <t>LY17092006</t>
  </si>
  <si>
    <t>220 V / 2.0 KW</t>
  </si>
  <si>
    <t>SINQT000021</t>
  </si>
  <si>
    <t>SIN-OE0026</t>
  </si>
  <si>
    <t>14#</t>
  </si>
  <si>
    <t>15#</t>
  </si>
  <si>
    <t>LY17092007</t>
  </si>
  <si>
    <t>18#</t>
  </si>
  <si>
    <t>LY17092003</t>
  </si>
  <si>
    <t>SINQT000022</t>
  </si>
  <si>
    <t>SIN-OE0031</t>
  </si>
  <si>
    <t>11#</t>
  </si>
  <si>
    <t>LY17090601</t>
  </si>
  <si>
    <t>SINQT000032</t>
  </si>
  <si>
    <t>SIN-OE0043</t>
  </si>
  <si>
    <t>12#</t>
  </si>
  <si>
    <t>LY17090602</t>
  </si>
  <si>
    <t>SINQT000033</t>
  </si>
  <si>
    <t>SIN-OE0044</t>
  </si>
  <si>
    <t>09#</t>
  </si>
  <si>
    <t>2505-150</t>
  </si>
  <si>
    <t>SINQT000064</t>
  </si>
  <si>
    <t>SIN-OE0078</t>
  </si>
  <si>
    <t>13#</t>
  </si>
  <si>
    <t>LY17092004</t>
  </si>
  <si>
    <t>SINQT000065</t>
  </si>
  <si>
    <t>SIN-OE0079</t>
  </si>
  <si>
    <t>Assembling Manual</t>
  </si>
  <si>
    <t>02#</t>
  </si>
  <si>
    <t>7254-0955-30, 7154-0955-30</t>
  </si>
  <si>
    <t>03#</t>
  </si>
  <si>
    <t>7273-3015-3W, 7273-3017-3W</t>
  </si>
  <si>
    <t>04#</t>
  </si>
  <si>
    <t>7273-3067-30, 7273-3068-30</t>
  </si>
  <si>
    <t>05#</t>
  </si>
  <si>
    <t xml:space="preserve">
7276-6339-30SD01</t>
  </si>
  <si>
    <t>PASI 179479</t>
  </si>
  <si>
    <t>06#</t>
  </si>
  <si>
    <t>7242-6340-30SD01</t>
  </si>
  <si>
    <t>01#</t>
  </si>
  <si>
    <t>7271-1296-3W</t>
  </si>
  <si>
    <t>Semi Auto Assembling Busbar Machine</t>
  </si>
  <si>
    <t>SEMI AUTO BSB</t>
  </si>
  <si>
    <t>BSB</t>
  </si>
  <si>
    <t>CPRT20066</t>
  </si>
  <si>
    <t>220V - 1KW</t>
  </si>
  <si>
    <t>SINJQ000114</t>
  </si>
  <si>
    <t>SIN-ME0116</t>
  </si>
  <si>
    <t>Laser Printing Machine</t>
  </si>
  <si>
    <t>LASER PRINTING</t>
  </si>
  <si>
    <t>Han's Laser</t>
  </si>
  <si>
    <t>F00167034</t>
  </si>
  <si>
    <t>NE00769</t>
  </si>
  <si>
    <t xml:space="preserve">220V - </t>
  </si>
  <si>
    <t>SINQT000212</t>
  </si>
  <si>
    <t>SIN-OE0217</t>
  </si>
  <si>
    <t>CCD Machine</t>
  </si>
  <si>
    <t>CCD1</t>
  </si>
  <si>
    <t>Huixudianzi</t>
  </si>
  <si>
    <t>HX-EP170</t>
  </si>
  <si>
    <t>HX170N0815A003</t>
  </si>
  <si>
    <t>200 V - 240 V</t>
  </si>
  <si>
    <t>SINQT000358</t>
  </si>
  <si>
    <t>SIN-OE0331</t>
  </si>
  <si>
    <t>CCD2</t>
  </si>
  <si>
    <t>HX170N0815A002</t>
  </si>
  <si>
    <t>SINQT000359</t>
  </si>
  <si>
    <t>SIN-OE0332</t>
  </si>
  <si>
    <t>CCD3</t>
  </si>
  <si>
    <t>KUDAMI TECH</t>
  </si>
  <si>
    <t>V1.O</t>
  </si>
  <si>
    <t>200 V - 230 V</t>
  </si>
  <si>
    <t>SINQT000422</t>
  </si>
  <si>
    <t>SIN-OE0425</t>
  </si>
  <si>
    <t>CCD Image Tester</t>
  </si>
  <si>
    <t>K3NA</t>
  </si>
  <si>
    <t>SINSY000012</t>
  </si>
  <si>
    <t>2024-02-29</t>
  </si>
  <si>
    <t>058662</t>
  </si>
  <si>
    <t>Screw Driving Machine</t>
  </si>
  <si>
    <t>SINJQ000140</t>
  </si>
  <si>
    <t>058659</t>
  </si>
  <si>
    <t>Conductivity Tester</t>
  </si>
  <si>
    <t>SINQT000448</t>
  </si>
  <si>
    <t>058663</t>
  </si>
  <si>
    <t>Air Compressor</t>
  </si>
  <si>
    <t>ATLAS COPCO</t>
  </si>
  <si>
    <t>GA37P</t>
  </si>
  <si>
    <t>WUK 844401</t>
  </si>
  <si>
    <t>380 V</t>
  </si>
  <si>
    <t>SINQT000052</t>
  </si>
  <si>
    <t>2017-12-15</t>
  </si>
  <si>
    <t>SIN-OE0066</t>
  </si>
  <si>
    <t>GA11+</t>
  </si>
  <si>
    <t>AP1418812</t>
  </si>
  <si>
    <t>SINQT000203</t>
  </si>
  <si>
    <t>2020-04-25</t>
  </si>
  <si>
    <t>SIN-OE0208</t>
  </si>
  <si>
    <t>Crane</t>
  </si>
  <si>
    <t>LINE 1</t>
  </si>
  <si>
    <t>DEMAG</t>
  </si>
  <si>
    <t>EKKE - EKDR 5 TON</t>
  </si>
  <si>
    <t>570-A01-1820-0717</t>
  </si>
  <si>
    <t>SINQT000054</t>
  </si>
  <si>
    <t>SIN-OE0068</t>
  </si>
  <si>
    <t>LINE 2</t>
  </si>
  <si>
    <t>EVKE/EKDMR 10 TON</t>
  </si>
  <si>
    <t>570-A01-2405-0520</t>
  </si>
  <si>
    <t>SINQT000217</t>
  </si>
  <si>
    <t>SIN-OE0221</t>
  </si>
  <si>
    <t>Cooling Tower</t>
  </si>
  <si>
    <t>LIANG CHI</t>
  </si>
  <si>
    <t>LBC 150T</t>
  </si>
  <si>
    <t>A 7B0385</t>
  </si>
  <si>
    <t>SINQT000119</t>
  </si>
  <si>
    <t>SIN-OE0027</t>
  </si>
  <si>
    <t>Trafo</t>
  </si>
  <si>
    <t>Trafindo</t>
  </si>
  <si>
    <t>800 kVA</t>
  </si>
  <si>
    <t>SINQT000072</t>
  </si>
  <si>
    <t>2018-02-25</t>
  </si>
  <si>
    <t>SIN-OE0090</t>
  </si>
  <si>
    <t>Steam Room (Water and Gas Instalation)</t>
  </si>
  <si>
    <t>SINQT000071</t>
  </si>
  <si>
    <t>SIN-OE0089</t>
  </si>
  <si>
    <t>Air Cooled Water Chiller</t>
  </si>
  <si>
    <t>SIC-12A-R2-HP-CE</t>
  </si>
  <si>
    <t>400V</t>
  </si>
  <si>
    <t>SINQT000248</t>
  </si>
  <si>
    <t>SINQT000393</t>
  </si>
  <si>
    <t>SINQT000394</t>
  </si>
  <si>
    <t>Water Cooled Water Chiller</t>
  </si>
  <si>
    <t>NPC</t>
  </si>
  <si>
    <t>SINQT000450</t>
  </si>
  <si>
    <r>
      <rPr>
        <sz val="10"/>
        <rFont val="黑体"/>
        <family val="3"/>
        <charset val="134"/>
      </rPr>
      <t xml:space="preserve">制订：
</t>
    </r>
    <r>
      <rPr>
        <sz val="10"/>
        <rFont val="Arial"/>
        <family val="2"/>
      </rPr>
      <t>Prepared by:</t>
    </r>
  </si>
  <si>
    <r>
      <rPr>
        <sz val="10"/>
        <rFont val="黑体"/>
        <family val="3"/>
        <charset val="134"/>
      </rPr>
      <t xml:space="preserve">审核：
</t>
    </r>
    <r>
      <rPr>
        <sz val="10"/>
        <rFont val="Arial"/>
        <family val="2"/>
      </rPr>
      <t>Reviewed by:</t>
    </r>
  </si>
  <si>
    <t>NO Aset New</t>
  </si>
  <si>
    <t>Resin Tank</t>
  </si>
  <si>
    <t>500 x 500 x 900 mm</t>
  </si>
  <si>
    <t>Location at Johar Plant</t>
  </si>
  <si>
    <t>600 x 600 x 900 mm</t>
  </si>
  <si>
    <t>700 x 700 x 900 mm</t>
  </si>
  <si>
    <t>Working Table</t>
  </si>
  <si>
    <t>1500x1170x800 mm</t>
  </si>
  <si>
    <t>OE0418</t>
  </si>
  <si>
    <t>OE0305</t>
  </si>
  <si>
    <t>OE0300</t>
  </si>
  <si>
    <t>OE0310</t>
  </si>
  <si>
    <t>OE0298</t>
  </si>
  <si>
    <t>OE0302</t>
  </si>
  <si>
    <t>OE0312</t>
  </si>
  <si>
    <t>OE0288</t>
  </si>
  <si>
    <t>OE0303</t>
  </si>
  <si>
    <t>OE0311</t>
  </si>
  <si>
    <t>OE0299</t>
  </si>
  <si>
    <t>OE0304</t>
  </si>
  <si>
    <t>OE0414</t>
  </si>
  <si>
    <t>OE0309</t>
  </si>
  <si>
    <t>OE0417</t>
  </si>
  <si>
    <t>OE0313</t>
  </si>
  <si>
    <t>1200x800 mm 1 unit</t>
  </si>
  <si>
    <t>OE0268</t>
  </si>
  <si>
    <t>OE0024</t>
  </si>
  <si>
    <t>OE0039</t>
  </si>
  <si>
    <t>OE0149</t>
  </si>
  <si>
    <t>OE0212</t>
  </si>
  <si>
    <t>OE0141</t>
  </si>
  <si>
    <t>OE0041</t>
  </si>
  <si>
    <t>OEO415</t>
  </si>
  <si>
    <t>OE0394</t>
  </si>
  <si>
    <t>OE0093</t>
  </si>
  <si>
    <t>800x600X800 mm</t>
  </si>
  <si>
    <t>OE0025</t>
  </si>
  <si>
    <t>OE0164</t>
  </si>
  <si>
    <t>OE0272</t>
  </si>
  <si>
    <t>OE0269</t>
  </si>
  <si>
    <t>OE0280</t>
  </si>
  <si>
    <t xml:space="preserve">800x600 mm 1 unit </t>
  </si>
  <si>
    <t>OE0266</t>
  </si>
  <si>
    <t>Location at Sungkai Plant</t>
  </si>
  <si>
    <t>OE0265</t>
  </si>
  <si>
    <t>OE0264</t>
  </si>
  <si>
    <t>OE0263</t>
  </si>
  <si>
    <t>OE0262</t>
  </si>
  <si>
    <t>OE0261</t>
  </si>
  <si>
    <t>OE0260</t>
  </si>
  <si>
    <t>OE0259</t>
  </si>
  <si>
    <t>OE0174</t>
  </si>
  <si>
    <t>OE0173</t>
  </si>
  <si>
    <t>OE0281</t>
  </si>
  <si>
    <t>OE0172</t>
  </si>
  <si>
    <t>OE0171</t>
  </si>
  <si>
    <t>OE0170</t>
  </si>
  <si>
    <t>OE0169</t>
  </si>
  <si>
    <t>OE0168</t>
  </si>
  <si>
    <t>OE0167</t>
  </si>
  <si>
    <t>OE0165</t>
  </si>
  <si>
    <t>OE0166</t>
  </si>
  <si>
    <t>OE0283</t>
  </si>
  <si>
    <t>OE0389</t>
  </si>
  <si>
    <t>OE0285</t>
  </si>
  <si>
    <t>OE0284</t>
  </si>
  <si>
    <t>OE0042</t>
  </si>
  <si>
    <t>OE0163</t>
  </si>
  <si>
    <t>OE0120</t>
  </si>
  <si>
    <t>OE0279</t>
  </si>
  <si>
    <t>OE0162</t>
  </si>
  <si>
    <t>OE0161</t>
  </si>
  <si>
    <t>OE0160</t>
  </si>
  <si>
    <t>OE0159</t>
  </si>
  <si>
    <t>OE0155</t>
  </si>
  <si>
    <t>OE0156</t>
  </si>
  <si>
    <t>OE0157</t>
  </si>
  <si>
    <t>OE0158</t>
  </si>
  <si>
    <t>OE0271</t>
  </si>
  <si>
    <t>OE0388</t>
  </si>
  <si>
    <t>OE0273</t>
  </si>
  <si>
    <t>OE0274</t>
  </si>
  <si>
    <t>OE0270</t>
  </si>
  <si>
    <t>OE0391</t>
  </si>
  <si>
    <t>OE0396</t>
  </si>
  <si>
    <t>OE0278</t>
  </si>
  <si>
    <t>OE0277</t>
  </si>
  <si>
    <t>OE0276</t>
  </si>
  <si>
    <t>OE0387</t>
  </si>
  <si>
    <t>OE0040</t>
  </si>
  <si>
    <t xml:space="preserve">Laser Welding Machine </t>
  </si>
  <si>
    <t>Alfa Laser AL - 400W</t>
  </si>
  <si>
    <t>ME0139</t>
  </si>
  <si>
    <t>Ultrasonic Cleaner Machine</t>
  </si>
  <si>
    <t>SB-1200DT, 400 x 600 x 300 mm</t>
  </si>
  <si>
    <t>FORKLIFT</t>
  </si>
  <si>
    <t>OE0064</t>
  </si>
  <si>
    <t>CUTTING MACHINE AUTOMATION</t>
  </si>
  <si>
    <t>ME0134</t>
  </si>
  <si>
    <t>CHILLER</t>
  </si>
  <si>
    <t>CHILLER 001</t>
  </si>
  <si>
    <t>OE0258</t>
  </si>
  <si>
    <t>CHILLER 002</t>
  </si>
  <si>
    <t>OE0397</t>
  </si>
  <si>
    <t>CHILLER 003</t>
  </si>
  <si>
    <t>OE0398</t>
  </si>
  <si>
    <t>Hand Palet Electric</t>
  </si>
  <si>
    <t>EP cap.1500kg, 1150 x 685 mm</t>
  </si>
  <si>
    <t>LV.1</t>
  </si>
  <si>
    <t>LV.2</t>
  </si>
  <si>
    <t>Robot/JIG Robot</t>
  </si>
  <si>
    <t>Injection Machine</t>
  </si>
  <si>
    <t>Dehumidifying Drayer</t>
  </si>
  <si>
    <t>MTC &amp; Chiller</t>
  </si>
  <si>
    <t>Hot Runner Control</t>
  </si>
  <si>
    <t>Conveyor</t>
  </si>
  <si>
    <t>others</t>
  </si>
  <si>
    <t>SLMMA-20250819-332-12</t>
  </si>
  <si>
    <t>Heater low</t>
  </si>
  <si>
    <t>Machine equipment</t>
  </si>
  <si>
    <t>008-EDDY SUYATNO</t>
  </si>
  <si>
    <t>0041-TRI WAHYU WIDIANTORO</t>
  </si>
  <si>
    <t>0079-TASBIKHUL MUNIR</t>
  </si>
  <si>
    <t>0278-DIDIK SABARNO</t>
  </si>
  <si>
    <t>0353-ARIS WAHYUDIN</t>
  </si>
  <si>
    <t>0480-SRI JOKO SUNARTO</t>
  </si>
  <si>
    <t>0555-AMIT KHAERI</t>
  </si>
  <si>
    <t>0008-EDDY SUYATNO</t>
  </si>
  <si>
    <t>LV . 2</t>
  </si>
  <si>
    <t>Internal</t>
  </si>
  <si>
    <t>Bongkar insert ,laser welding,finishing assy</t>
  </si>
  <si>
    <t>Mold kurang matching</t>
  </si>
  <si>
    <t>terdapat gap</t>
  </si>
  <si>
    <t>Parting line aus</t>
  </si>
  <si>
    <t>gesekan saat running</t>
  </si>
  <si>
    <t>Appearance As per inspection instruction &amp; standard</t>
  </si>
  <si>
    <t>Contents to be verified:</t>
  </si>
  <si>
    <t>120 (Menit)</t>
  </si>
  <si>
    <t xml:space="preserve"> Completion date:</t>
  </si>
  <si>
    <t>Required completion date:</t>
  </si>
  <si>
    <t>Submit</t>
  </si>
  <si>
    <t>cancel</t>
  </si>
  <si>
    <t>Verification list</t>
  </si>
  <si>
    <t>Ganti magnetic contactor</t>
  </si>
  <si>
    <t>Required completion date</t>
  </si>
  <si>
    <t>Image problem mold :</t>
  </si>
  <si>
    <t xml:space="preserve">Appearance : </t>
  </si>
  <si>
    <t>0233-HERMANTO</t>
  </si>
  <si>
    <t>0518-RASIDI</t>
  </si>
  <si>
    <t>0209-NURCHOLIQ M</t>
  </si>
  <si>
    <t>Dimension:</t>
  </si>
  <si>
    <t>Performance:</t>
  </si>
  <si>
    <t>Image problem part:</t>
  </si>
  <si>
    <t>Image problem Mold:</t>
  </si>
  <si>
    <t>upload</t>
  </si>
  <si>
    <t>IDENTIFICATION</t>
  </si>
  <si>
    <t>60 (Menit)</t>
  </si>
  <si>
    <t>Duration:</t>
  </si>
  <si>
    <t>PIC_Corrective:</t>
  </si>
  <si>
    <t>Problem_Closedtime (date ):</t>
  </si>
  <si>
    <t>Status_Repair:</t>
  </si>
  <si>
    <t>QA Dept. Check Result:</t>
  </si>
  <si>
    <t>Pic QA:</t>
  </si>
  <si>
    <t>date:</t>
  </si>
  <si>
    <t>remark:</t>
  </si>
  <si>
    <t>Defect content :</t>
  </si>
  <si>
    <t>Efect to part:</t>
  </si>
  <si>
    <t>yes</t>
  </si>
  <si>
    <t>No</t>
  </si>
  <si>
    <t>Equipment type:</t>
  </si>
  <si>
    <t>Signature of team leader/supervisor of reporting dept:</t>
  </si>
  <si>
    <t>Prod Dept. Check Result:</t>
  </si>
  <si>
    <t>Pic Prod:</t>
  </si>
  <si>
    <t>YES</t>
  </si>
  <si>
    <t>NO</t>
  </si>
  <si>
    <t>FTA Resume:</t>
  </si>
  <si>
    <t>Status repair:</t>
  </si>
  <si>
    <t>Defect Category</t>
  </si>
  <si>
    <t>Sub defect</t>
  </si>
  <si>
    <t>Sub defect:</t>
  </si>
  <si>
    <t>Problem posistion:</t>
  </si>
  <si>
    <t>Repeat problem:</t>
  </si>
  <si>
    <t>Abnormality situation</t>
  </si>
  <si>
    <t>Assembly inline</t>
  </si>
  <si>
    <t>Assembly offline</t>
  </si>
  <si>
    <t>DFC-000001-Excessive material</t>
  </si>
  <si>
    <t>-Excessive (Mold broken)</t>
  </si>
  <si>
    <t>-flashing</t>
  </si>
  <si>
    <t>-Double clamping</t>
  </si>
  <si>
    <t>-peeling/Terkelupas</t>
  </si>
  <si>
    <t>-High gate</t>
  </si>
  <si>
    <t>-Hairline</t>
  </si>
  <si>
    <t>-Overpack</t>
  </si>
  <si>
    <t>DFC-000002-Insufficient material</t>
  </si>
  <si>
    <t>-Insufficient (Mold broken)</t>
  </si>
  <si>
    <t>-short-short</t>
  </si>
  <si>
    <t>-Burning</t>
  </si>
  <si>
    <t>-Poor airthigtness</t>
  </si>
  <si>
    <t>-Gate Bolong</t>
  </si>
  <si>
    <t>-Overcut</t>
  </si>
  <si>
    <t>DFC-000003-Damage</t>
  </si>
  <si>
    <t>-Breakage</t>
  </si>
  <si>
    <t>-Hinge crack</t>
  </si>
  <si>
    <t>-Hinge delaminasi</t>
  </si>
  <si>
    <t>-Danted/Injured</t>
  </si>
  <si>
    <t>-scratch</t>
  </si>
  <si>
    <t>-Undercut</t>
  </si>
  <si>
    <t>DFC-000004-Surfacemark</t>
  </si>
  <si>
    <t>-Silver streak</t>
  </si>
  <si>
    <t>-flowmark</t>
  </si>
  <si>
    <t>-watermark</t>
  </si>
  <si>
    <t>-weldline</t>
  </si>
  <si>
    <t>-Discoloration</t>
  </si>
  <si>
    <t>-Spoted(Black,white,Orange,etc)</t>
  </si>
  <si>
    <t>-Contamination</t>
  </si>
  <si>
    <t>-Oilmark</t>
  </si>
  <si>
    <t>-Dusty</t>
  </si>
  <si>
    <t>-Watermark</t>
  </si>
  <si>
    <t>DFC-000005-Bulge</t>
  </si>
  <si>
    <t>-Bulbe</t>
  </si>
  <si>
    <t>-Void</t>
  </si>
  <si>
    <t>-Ejector mark</t>
  </si>
  <si>
    <t>-Pressmark</t>
  </si>
  <si>
    <t>DFC-000006-Deform</t>
  </si>
  <si>
    <t>-Sinkmark</t>
  </si>
  <si>
    <t>-Deform</t>
  </si>
  <si>
    <t>-Twist</t>
  </si>
  <si>
    <t>-Warpage</t>
  </si>
  <si>
    <t>-Assembly Ommision</t>
  </si>
  <si>
    <t>-Improper Assembly</t>
  </si>
  <si>
    <t>-Insifficient/Over riveting</t>
  </si>
  <si>
    <t>-Reversed &amp; Wrong assy</t>
  </si>
  <si>
    <t>-Missing &amp; improper dot marking</t>
  </si>
  <si>
    <t>-Over assembly</t>
  </si>
  <si>
    <t>-Discontinous Printing</t>
  </si>
  <si>
    <t>-Overlapping Printing</t>
  </si>
  <si>
    <t>-Unclear printing</t>
  </si>
  <si>
    <t>-Letter deformation</t>
  </si>
  <si>
    <t>-Wrong letter</t>
  </si>
  <si>
    <t>-Wrong position</t>
  </si>
  <si>
    <t>-Wrong letter Size</t>
  </si>
  <si>
    <t>-Hole laser</t>
  </si>
  <si>
    <t>DFC-000007-Poor Assy</t>
  </si>
  <si>
    <t>DFC-000008-Poor Engraving</t>
  </si>
  <si>
    <t>DFC-000009-Discrepancy</t>
  </si>
  <si>
    <t>-Qty Discrepancy</t>
  </si>
  <si>
    <t>-Mix products</t>
  </si>
  <si>
    <t>-Dropped part</t>
  </si>
  <si>
    <t>DFC-000010-Abnormality process/Machine</t>
  </si>
  <si>
    <t>-Alarm Robot</t>
  </si>
  <si>
    <t>-Alarm mesin</t>
  </si>
  <si>
    <t>-Deteksi mesin Abnormal</t>
  </si>
  <si>
    <t>-Part stuck pada jig</t>
  </si>
  <si>
    <t>-Others</t>
  </si>
  <si>
    <t>yes/no</t>
  </si>
  <si>
    <t>(auto)</t>
  </si>
  <si>
    <t>-General</t>
  </si>
  <si>
    <t>-Function</t>
  </si>
  <si>
    <t>-Final filling posistion</t>
  </si>
  <si>
    <t>Repair No : SLMMJ-202508-7171-6335-30-12</t>
  </si>
  <si>
    <t>Flash area parting line cav 1</t>
  </si>
  <si>
    <t>Actual situation</t>
  </si>
  <si>
    <t>LV.3</t>
  </si>
  <si>
    <r>
      <rPr>
        <b/>
        <sz val="12"/>
        <color theme="1"/>
        <rFont val="Aptos Narrow"/>
        <family val="2"/>
      </rPr>
      <t>&lt;</t>
    </r>
    <r>
      <rPr>
        <b/>
        <sz val="12"/>
        <color theme="1"/>
        <rFont val="Aptos Narrow"/>
        <family val="2"/>
        <scheme val="minor"/>
      </rPr>
      <t>hide</t>
    </r>
  </si>
  <si>
    <t>CLOSED</t>
  </si>
  <si>
    <t>tegangan ouput pada contactor tidak keluar</t>
  </si>
  <si>
    <t>magnetic contactor rusak</t>
  </si>
  <si>
    <t>platina magnetick contactor aus</t>
  </si>
  <si>
    <t>NEW CREATE</t>
  </si>
  <si>
    <t>Actual situation: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</si>
</sst>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宋体"/>
      <family val="3"/>
      <charset val="134"/>
    </font>
    <font>
      <b/>
      <sz val="12"/>
      <color theme="1"/>
      <name val="Aptos Narrow"/>
      <family val="2"/>
      <scheme val="minor"/>
    </font>
    <font>
      <b/>
      <sz val="12"/>
      <name val="Arial"/>
      <family val="2"/>
    </font>
    <font>
      <sz val="8"/>
      <name val="Aptos Narrow"/>
      <family val="2"/>
      <scheme val="minor"/>
    </font>
    <font>
      <sz val="12"/>
      <name val="宋体"/>
      <charset val="134"/>
    </font>
    <font>
      <sz val="9"/>
      <color theme="1"/>
      <name val="Aptos Narrow"/>
      <family val="2"/>
      <scheme val="minor"/>
    </font>
    <font>
      <sz val="12"/>
      <name val="Arial"/>
      <family val="2"/>
    </font>
    <font>
      <sz val="16"/>
      <name val="Arial"/>
      <family val="2"/>
    </font>
    <font>
      <sz val="16"/>
      <name val="黑体"/>
      <family val="3"/>
      <charset val="134"/>
    </font>
    <font>
      <sz val="10"/>
      <name val="Arial"/>
      <family val="2"/>
    </font>
    <font>
      <sz val="10"/>
      <name val="黑体"/>
      <family val="3"/>
      <charset val="134"/>
    </font>
    <font>
      <b/>
      <sz val="10"/>
      <name val="Arial"/>
      <family val="2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4"/>
      <color theme="7" tint="-0.249977111117893"/>
      <name val="Arial"/>
      <family val="2"/>
    </font>
    <font>
      <b/>
      <sz val="12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/>
  </cellStyleXfs>
  <cellXfs count="322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1" xfId="1" applyFont="1" applyFill="1" applyBorder="1" applyAlignment="1" applyProtection="1">
      <alignment horizontal="left" vertical="center" wrapText="1"/>
      <protection locked="0"/>
    </xf>
    <xf numFmtId="0" fontId="4" fillId="2" borderId="2" xfId="1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4" fontId="0" fillId="0" borderId="2" xfId="0" applyNumberForma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/>
    <xf numFmtId="0" fontId="1" fillId="3" borderId="6" xfId="0" applyFont="1" applyFill="1" applyBorder="1"/>
    <xf numFmtId="0" fontId="1" fillId="3" borderId="8" xfId="0" applyFont="1" applyFill="1" applyBorder="1"/>
    <xf numFmtId="0" fontId="0" fillId="0" borderId="4" xfId="0" applyBorder="1" applyAlignment="1">
      <alignment horizontal="left"/>
    </xf>
    <xf numFmtId="0" fontId="3" fillId="2" borderId="6" xfId="0" applyFont="1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9" xfId="0" applyBorder="1"/>
    <xf numFmtId="0" fontId="4" fillId="0" borderId="13" xfId="3" applyFont="1" applyBorder="1" applyAlignment="1">
      <alignment vertical="center"/>
    </xf>
    <xf numFmtId="0" fontId="8" fillId="0" borderId="1" xfId="3" applyFont="1" applyBorder="1" applyAlignment="1">
      <alignment vertical="center"/>
    </xf>
    <xf numFmtId="0" fontId="11" fillId="0" borderId="0" xfId="3" applyFont="1" applyAlignment="1">
      <alignment horizontal="left" vertical="center" wrapText="1"/>
    </xf>
    <xf numFmtId="0" fontId="4" fillId="0" borderId="0" xfId="3" applyFont="1" applyAlignment="1">
      <alignment vertical="center"/>
    </xf>
    <xf numFmtId="0" fontId="4" fillId="0" borderId="11" xfId="3" applyFont="1" applyBorder="1" applyAlignment="1">
      <alignment vertical="center"/>
    </xf>
    <xf numFmtId="0" fontId="8" fillId="0" borderId="15" xfId="3" applyFont="1" applyBorder="1" applyAlignment="1">
      <alignment vertical="center"/>
    </xf>
    <xf numFmtId="0" fontId="11" fillId="0" borderId="0" xfId="3" applyFont="1" applyAlignment="1">
      <alignment vertical="center"/>
    </xf>
    <xf numFmtId="0" fontId="4" fillId="0" borderId="0" xfId="3" applyFont="1"/>
    <xf numFmtId="0" fontId="8" fillId="0" borderId="0" xfId="3" applyFont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11" fillId="0" borderId="0" xfId="3" applyFont="1"/>
    <xf numFmtId="0" fontId="11" fillId="0" borderId="6" xfId="3" applyFont="1" applyBorder="1" applyAlignment="1">
      <alignment vertical="center"/>
    </xf>
    <xf numFmtId="0" fontId="11" fillId="5" borderId="7" xfId="3" applyFont="1" applyFill="1" applyBorder="1" applyAlignment="1">
      <alignment horizontal="center" vertical="center"/>
    </xf>
    <xf numFmtId="0" fontId="11" fillId="0" borderId="6" xfId="3" applyFont="1" applyBorder="1" applyAlignment="1">
      <alignment horizontal="center" vertical="center" wrapText="1"/>
    </xf>
    <xf numFmtId="0" fontId="11" fillId="0" borderId="7" xfId="3" quotePrefix="1" applyFont="1" applyBorder="1" applyAlignment="1">
      <alignment horizontal="center" vertical="center"/>
    </xf>
    <xf numFmtId="0" fontId="11" fillId="0" borderId="7" xfId="3" applyFont="1" applyBorder="1" applyAlignment="1">
      <alignment horizontal="center" vertical="center"/>
    </xf>
    <xf numFmtId="0" fontId="11" fillId="0" borderId="8" xfId="3" applyFont="1" applyBorder="1" applyAlignment="1">
      <alignment vertical="center"/>
    </xf>
    <xf numFmtId="0" fontId="13" fillId="0" borderId="0" xfId="3" applyFont="1" applyAlignment="1">
      <alignment vertical="center"/>
    </xf>
    <xf numFmtId="0" fontId="11" fillId="0" borderId="7" xfId="3" applyFont="1" applyBorder="1" applyAlignment="1">
      <alignment vertical="center"/>
    </xf>
    <xf numFmtId="0" fontId="11" fillId="0" borderId="2" xfId="3" applyFont="1" applyBorder="1" applyAlignment="1">
      <alignment horizontal="center" vertical="center" wrapText="1"/>
    </xf>
    <xf numFmtId="0" fontId="12" fillId="5" borderId="2" xfId="3" applyFont="1" applyFill="1" applyBorder="1" applyAlignment="1">
      <alignment horizontal="center" wrapText="1"/>
    </xf>
    <xf numFmtId="0" fontId="12" fillId="0" borderId="6" xfId="3" applyFont="1" applyBorder="1" applyAlignment="1">
      <alignment horizontal="center" vertical="center" wrapText="1"/>
    </xf>
    <xf numFmtId="0" fontId="11" fillId="0" borderId="7" xfId="3" applyFont="1" applyBorder="1" applyAlignment="1">
      <alignment horizontal="center" vertical="center" wrapText="1"/>
    </xf>
    <xf numFmtId="0" fontId="12" fillId="0" borderId="2" xfId="3" applyFont="1" applyBorder="1" applyAlignment="1">
      <alignment horizontal="center" wrapText="1"/>
    </xf>
    <xf numFmtId="0" fontId="12" fillId="0" borderId="8" xfId="3" applyFont="1" applyBorder="1" applyAlignment="1">
      <alignment horizontal="center" wrapText="1"/>
    </xf>
    <xf numFmtId="0" fontId="12" fillId="0" borderId="3" xfId="3" applyFont="1" applyBorder="1" applyAlignment="1">
      <alignment horizontal="center" wrapText="1"/>
    </xf>
    <xf numFmtId="0" fontId="11" fillId="0" borderId="2" xfId="3" applyFont="1" applyBorder="1" applyAlignment="1">
      <alignment horizontal="center" vertical="center"/>
    </xf>
    <xf numFmtId="0" fontId="11" fillId="5" borderId="2" xfId="3" applyFont="1" applyFill="1" applyBorder="1" applyAlignment="1">
      <alignment horizontal="center" vertical="center"/>
    </xf>
    <xf numFmtId="1" fontId="11" fillId="0" borderId="8" xfId="3" applyNumberFormat="1" applyFont="1" applyBorder="1" applyAlignment="1">
      <alignment horizontal="left" vertical="center"/>
    </xf>
    <xf numFmtId="0" fontId="11" fillId="0" borderId="8" xfId="3" applyFont="1" applyBorder="1" applyAlignment="1">
      <alignment horizontal="left" vertical="center"/>
    </xf>
    <xf numFmtId="0" fontId="11" fillId="0" borderId="6" xfId="3" applyFont="1" applyBorder="1" applyAlignment="1">
      <alignment horizontal="left" vertical="center"/>
    </xf>
    <xf numFmtId="0" fontId="13" fillId="0" borderId="3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0" borderId="0" xfId="3" applyFont="1" applyAlignment="1">
      <alignment horizontal="left" vertical="center"/>
    </xf>
    <xf numFmtId="0" fontId="11" fillId="0" borderId="7" xfId="3" applyFont="1" applyBorder="1" applyAlignment="1">
      <alignment horizontal="left" vertical="center"/>
    </xf>
    <xf numFmtId="0" fontId="11" fillId="6" borderId="8" xfId="3" applyFont="1" applyFill="1" applyBorder="1" applyAlignment="1">
      <alignment horizontal="left" vertical="center"/>
    </xf>
    <xf numFmtId="0" fontId="11" fillId="6" borderId="6" xfId="3" applyFont="1" applyFill="1" applyBorder="1" applyAlignment="1">
      <alignment horizontal="left" vertical="center"/>
    </xf>
    <xf numFmtId="0" fontId="11" fillId="4" borderId="8" xfId="3" applyFont="1" applyFill="1" applyBorder="1" applyAlignment="1">
      <alignment horizontal="left" vertical="center"/>
    </xf>
    <xf numFmtId="0" fontId="11" fillId="4" borderId="8" xfId="3" applyFont="1" applyFill="1" applyBorder="1" applyAlignment="1">
      <alignment vertical="center"/>
    </xf>
    <xf numFmtId="11" fontId="11" fillId="0" borderId="8" xfId="3" applyNumberFormat="1" applyFont="1" applyBorder="1" applyAlignment="1">
      <alignment horizontal="left" vertical="center"/>
    </xf>
    <xf numFmtId="11" fontId="11" fillId="0" borderId="6" xfId="3" applyNumberFormat="1" applyFont="1" applyBorder="1" applyAlignment="1">
      <alignment horizontal="left" vertical="center"/>
    </xf>
    <xf numFmtId="0" fontId="11" fillId="0" borderId="2" xfId="3" applyFont="1" applyBorder="1" applyAlignment="1">
      <alignment horizontal="left" vertical="center"/>
    </xf>
    <xf numFmtId="0" fontId="11" fillId="5" borderId="2" xfId="3" quotePrefix="1" applyFont="1" applyFill="1" applyBorder="1" applyAlignment="1">
      <alignment horizontal="center" vertical="center"/>
    </xf>
    <xf numFmtId="0" fontId="11" fillId="0" borderId="2" xfId="3" quotePrefix="1" applyFont="1" applyBorder="1" applyAlignment="1">
      <alignment horizontal="center" vertical="center"/>
    </xf>
    <xf numFmtId="0" fontId="11" fillId="0" borderId="8" xfId="3" quotePrefix="1" applyFont="1" applyBorder="1" applyAlignment="1">
      <alignment horizontal="left" vertical="center"/>
    </xf>
    <xf numFmtId="0" fontId="11" fillId="0" borderId="8" xfId="3" quotePrefix="1" applyFont="1" applyBorder="1" applyAlignment="1">
      <alignment vertical="center"/>
    </xf>
    <xf numFmtId="0" fontId="13" fillId="0" borderId="5" xfId="3" applyFont="1" applyBorder="1" applyAlignment="1">
      <alignment horizontal="center" vertical="center"/>
    </xf>
    <xf numFmtId="0" fontId="11" fillId="7" borderId="2" xfId="3" applyFont="1" applyFill="1" applyBorder="1" applyAlignment="1">
      <alignment horizontal="center" vertical="center"/>
    </xf>
    <xf numFmtId="0" fontId="11" fillId="4" borderId="6" xfId="3" applyFont="1" applyFill="1" applyBorder="1" applyAlignment="1">
      <alignment vertical="center"/>
    </xf>
    <xf numFmtId="0" fontId="11" fillId="4" borderId="2" xfId="3" applyFont="1" applyFill="1" applyBorder="1" applyAlignment="1">
      <alignment horizontal="center" vertical="center"/>
    </xf>
    <xf numFmtId="0" fontId="11" fillId="0" borderId="6" xfId="3" applyFont="1" applyBorder="1" applyAlignment="1">
      <alignment horizontal="right" vertical="center"/>
    </xf>
    <xf numFmtId="0" fontId="11" fillId="0" borderId="7" xfId="3" applyFont="1" applyBorder="1" applyAlignment="1">
      <alignment horizontal="right" vertical="center"/>
    </xf>
    <xf numFmtId="164" fontId="11" fillId="0" borderId="8" xfId="3" applyNumberFormat="1" applyFont="1" applyBorder="1" applyAlignment="1">
      <alignment horizontal="left" vertical="center"/>
    </xf>
    <xf numFmtId="14" fontId="11" fillId="0" borderId="8" xfId="3" applyNumberFormat="1" applyFont="1" applyBorder="1" applyAlignment="1">
      <alignment horizontal="left" vertical="center"/>
    </xf>
    <xf numFmtId="0" fontId="11" fillId="4" borderId="6" xfId="3" applyFont="1" applyFill="1" applyBorder="1" applyAlignment="1">
      <alignment horizontal="left" vertical="center"/>
    </xf>
    <xf numFmtId="0" fontId="11" fillId="4" borderId="2" xfId="3" applyFont="1" applyFill="1" applyBorder="1" applyAlignment="1">
      <alignment horizontal="left" vertical="center"/>
    </xf>
    <xf numFmtId="0" fontId="4" fillId="4" borderId="2" xfId="3" applyFont="1" applyFill="1" applyBorder="1" applyAlignment="1">
      <alignment horizontal="center" vertical="center"/>
    </xf>
    <xf numFmtId="0" fontId="11" fillId="4" borderId="2" xfId="3" applyFont="1" applyFill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5" borderId="0" xfId="3" applyFont="1" applyFill="1" applyAlignment="1">
      <alignment horizontal="center" vertical="center"/>
    </xf>
    <xf numFmtId="0" fontId="11" fillId="0" borderId="0" xfId="3" applyFont="1" applyAlignment="1">
      <alignment horizontal="left"/>
    </xf>
    <xf numFmtId="0" fontId="11" fillId="0" borderId="0" xfId="3" applyFont="1" applyAlignment="1">
      <alignment wrapText="1"/>
    </xf>
    <xf numFmtId="0" fontId="11" fillId="5" borderId="0" xfId="3" applyFont="1" applyFill="1" applyAlignment="1">
      <alignment horizontal="center" wrapText="1"/>
    </xf>
    <xf numFmtId="0" fontId="11" fillId="0" borderId="0" xfId="3" applyFont="1" applyAlignment="1">
      <alignment horizontal="center" wrapText="1"/>
    </xf>
    <xf numFmtId="0" fontId="11" fillId="0" borderId="0" xfId="3" applyFont="1" applyAlignment="1">
      <alignment horizontal="left" wrapText="1"/>
    </xf>
    <xf numFmtId="0" fontId="13" fillId="0" borderId="4" xfId="3" applyFont="1" applyBorder="1"/>
    <xf numFmtId="0" fontId="13" fillId="0" borderId="0" xfId="3" applyFont="1"/>
    <xf numFmtId="0" fontId="4" fillId="5" borderId="0" xfId="3" applyFont="1" applyFill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4" xfId="3" applyFont="1" applyBorder="1" applyAlignment="1">
      <alignment vertical="center"/>
    </xf>
    <xf numFmtId="0" fontId="11" fillId="0" borderId="3" xfId="3" applyFont="1" applyBorder="1" applyAlignment="1">
      <alignment horizontal="left" vertical="center" wrapText="1"/>
    </xf>
    <xf numFmtId="0" fontId="11" fillId="0" borderId="5" xfId="3" applyFont="1" applyBorder="1" applyAlignment="1">
      <alignment vertical="center"/>
    </xf>
    <xf numFmtId="0" fontId="11" fillId="0" borderId="8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3" fillId="0" borderId="0" xfId="3" applyFont="1" applyAlignment="1">
      <alignment horizontal="center" vertical="center"/>
    </xf>
    <xf numFmtId="0" fontId="11" fillId="0" borderId="8" xfId="3" applyFont="1" applyBorder="1" applyAlignment="1">
      <alignment horizontal="right" vertical="center"/>
    </xf>
    <xf numFmtId="0" fontId="11" fillId="0" borderId="7" xfId="3" quotePrefix="1" applyFont="1" applyBorder="1" applyAlignment="1">
      <alignment horizontal="left" vertical="center"/>
    </xf>
    <xf numFmtId="0" fontId="11" fillId="0" borderId="2" xfId="3" quotePrefix="1" applyFont="1" applyBorder="1" applyAlignment="1">
      <alignment horizontal="left" vertical="center"/>
    </xf>
    <xf numFmtId="0" fontId="4" fillId="0" borderId="2" xfId="3" applyFont="1" applyBorder="1" applyAlignment="1">
      <alignment horizontal="center" vertical="center"/>
    </xf>
    <xf numFmtId="0" fontId="11" fillId="0" borderId="6" xfId="3" applyFont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3" borderId="2" xfId="0" applyFill="1" applyBorder="1"/>
    <xf numFmtId="0" fontId="1" fillId="3" borderId="6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6" xfId="0" applyBorder="1"/>
    <xf numFmtId="0" fontId="0" fillId="0" borderId="0" xfId="0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7" fillId="0" borderId="0" xfId="0" applyFont="1"/>
    <xf numFmtId="0" fontId="0" fillId="0" borderId="3" xfId="0" applyBorder="1" applyAlignment="1">
      <alignment vertical="top"/>
    </xf>
    <xf numFmtId="0" fontId="3" fillId="3" borderId="2" xfId="0" applyFont="1" applyFill="1" applyBorder="1" applyAlignment="1">
      <alignment horizontal="left" vertical="center"/>
    </xf>
    <xf numFmtId="0" fontId="1" fillId="3" borderId="7" xfId="0" applyFont="1" applyFill="1" applyBorder="1"/>
    <xf numFmtId="0" fontId="11" fillId="0" borderId="0" xfId="2" applyFont="1">
      <alignment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5" fillId="0" borderId="0" xfId="0" applyFont="1" applyAlignment="1">
      <alignment vertical="center"/>
    </xf>
    <xf numFmtId="0" fontId="3" fillId="2" borderId="8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0" fontId="1" fillId="0" borderId="0" xfId="0" applyFont="1"/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3" borderId="2" xfId="0" applyFill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5" fillId="8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left"/>
    </xf>
    <xf numFmtId="0" fontId="4" fillId="2" borderId="6" xfId="1" applyFont="1" applyFill="1" applyBorder="1" applyAlignment="1" applyProtection="1">
      <alignment horizontal="left" vertical="center" wrapText="1"/>
      <protection locked="0"/>
    </xf>
    <xf numFmtId="0" fontId="4" fillId="2" borderId="8" xfId="1" applyFont="1" applyFill="1" applyBorder="1" applyAlignment="1" applyProtection="1">
      <alignment horizontal="left" vertical="center" wrapText="1"/>
      <protection locked="0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4" fontId="0" fillId="0" borderId="6" xfId="0" applyNumberFormat="1" applyBorder="1" applyAlignment="1">
      <alignment horizontal="left" vertical="center"/>
    </xf>
    <xf numFmtId="14" fontId="0" fillId="0" borderId="8" xfId="0" applyNumberFormat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2" xfId="0" applyBorder="1" applyAlignment="1">
      <alignment horizontal="center" vertical="top"/>
    </xf>
    <xf numFmtId="0" fontId="0" fillId="3" borderId="6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11" fillId="0" borderId="6" xfId="3" applyFont="1" applyBorder="1" applyAlignment="1">
      <alignment horizontal="left" vertical="center" wrapText="1"/>
    </xf>
    <xf numFmtId="0" fontId="11" fillId="0" borderId="7" xfId="3" quotePrefix="1" applyFont="1" applyBorder="1" applyAlignment="1">
      <alignment horizontal="left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8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left" vertical="center"/>
    </xf>
    <xf numFmtId="0" fontId="11" fillId="0" borderId="7" xfId="3" applyFont="1" applyBorder="1" applyAlignment="1">
      <alignment horizontal="left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15" xfId="3" applyFont="1" applyBorder="1" applyAlignment="1">
      <alignment horizontal="center" vertical="center" wrapText="1"/>
    </xf>
    <xf numFmtId="0" fontId="11" fillId="0" borderId="13" xfId="3" applyFont="1" applyBorder="1" applyAlignment="1">
      <alignment horizontal="left" vertical="center" wrapText="1"/>
    </xf>
    <xf numFmtId="0" fontId="11" fillId="0" borderId="14" xfId="3" applyFont="1" applyBorder="1" applyAlignment="1">
      <alignment horizontal="left" vertical="center" wrapText="1"/>
    </xf>
    <xf numFmtId="0" fontId="11" fillId="0" borderId="11" xfId="3" applyFont="1" applyBorder="1" applyAlignment="1">
      <alignment horizontal="left" vertical="center"/>
    </xf>
    <xf numFmtId="0" fontId="11" fillId="0" borderId="12" xfId="3" applyFont="1" applyBorder="1" applyAlignment="1">
      <alignment horizontal="left" vertical="center"/>
    </xf>
    <xf numFmtId="0" fontId="11" fillId="0" borderId="7" xfId="3" applyFont="1" applyBorder="1" applyAlignment="1">
      <alignment horizontal="left"/>
    </xf>
    <xf numFmtId="0" fontId="11" fillId="0" borderId="8" xfId="3" applyFont="1" applyBorder="1" applyAlignment="1">
      <alignment horizontal="left" vertical="center" wrapText="1"/>
    </xf>
    <xf numFmtId="0" fontId="11" fillId="0" borderId="8" xfId="3" applyFont="1" applyBorder="1" applyAlignment="1">
      <alignment horizontal="left" vertical="center"/>
    </xf>
    <xf numFmtId="0" fontId="9" fillId="0" borderId="14" xfId="3" applyFont="1" applyBorder="1" applyAlignment="1">
      <alignment horizontal="center" vertical="center" wrapText="1"/>
    </xf>
    <xf numFmtId="0" fontId="9" fillId="0" borderId="12" xfId="3" applyFont="1" applyBorder="1" applyAlignment="1">
      <alignment horizontal="center" vertical="center" wrapText="1"/>
    </xf>
    <xf numFmtId="0" fontId="11" fillId="0" borderId="8" xfId="3" applyFont="1" applyBorder="1" applyAlignment="1">
      <alignment horizontal="center" vertical="center"/>
    </xf>
    <xf numFmtId="0" fontId="11" fillId="0" borderId="2" xfId="3" applyFont="1" applyBorder="1" applyAlignment="1">
      <alignment horizontal="left" vertic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1" applyFont="1" applyFill="1" applyBorder="1" applyAlignment="1" applyProtection="1">
      <alignment horizontal="left" vertical="center" wrapText="1"/>
      <protection locked="0"/>
    </xf>
    <xf numFmtId="0" fontId="3" fillId="3" borderId="2" xfId="0" applyFont="1" applyFill="1" applyBorder="1" applyAlignment="1">
      <alignment vertical="center" wrapText="1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8" fillId="3" borderId="6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left"/>
    </xf>
    <xf numFmtId="0" fontId="1" fillId="0" borderId="8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8" fillId="0" borderId="6" xfId="0" applyFont="1" applyFill="1" applyBorder="1" applyAlignment="1">
      <alignment horizontal="left" vertical="center"/>
    </xf>
    <xf numFmtId="0" fontId="18" fillId="0" borderId="8" xfId="0" applyFont="1" applyFill="1" applyBorder="1" applyAlignment="1">
      <alignment horizontal="left" vertical="center"/>
    </xf>
    <xf numFmtId="0" fontId="0" fillId="0" borderId="0" xfId="0" quotePrefix="1"/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0" fillId="0" borderId="2" xfId="0" quotePrefix="1" applyBorder="1" applyAlignment="1">
      <alignment horizontal="left" vertical="center"/>
    </xf>
    <xf numFmtId="0" fontId="0" fillId="0" borderId="0" xfId="0" quotePrefix="1" applyAlignment="1">
      <alignment vertical="center"/>
    </xf>
    <xf numFmtId="0" fontId="19" fillId="2" borderId="6" xfId="1" applyFont="1" applyFill="1" applyBorder="1" applyAlignment="1" applyProtection="1">
      <alignment horizontal="left" vertical="center" wrapText="1"/>
      <protection locked="0"/>
    </xf>
    <xf numFmtId="0" fontId="19" fillId="2" borderId="7" xfId="1" applyFont="1" applyFill="1" applyBorder="1" applyAlignment="1" applyProtection="1">
      <alignment horizontal="left" vertical="center" wrapText="1"/>
      <protection locked="0"/>
    </xf>
    <xf numFmtId="0" fontId="19" fillId="2" borderId="8" xfId="1" applyFont="1" applyFill="1" applyBorder="1" applyAlignment="1" applyProtection="1">
      <alignment horizontal="left" vertical="center" wrapText="1"/>
      <protection locked="0"/>
    </xf>
    <xf numFmtId="0" fontId="0" fillId="0" borderId="0" xfId="0" applyBorder="1" applyAlignment="1">
      <alignment horizontal="center" wrapText="1"/>
    </xf>
    <xf numFmtId="0" fontId="1" fillId="3" borderId="5" xfId="0" applyFont="1" applyFill="1" applyBorder="1"/>
    <xf numFmtId="0" fontId="1" fillId="3" borderId="7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13" xfId="0" quotePrefix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5" fillId="10" borderId="0" xfId="0" applyFont="1" applyFill="1" applyAlignment="1">
      <alignment horizontal="left" vertical="center"/>
    </xf>
    <xf numFmtId="0" fontId="14" fillId="0" borderId="2" xfId="0" quotePrefix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7" fillId="0" borderId="2" xfId="0" quotePrefix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5" fillId="10" borderId="0" xfId="0" applyFont="1" applyFill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5" xfId="0" applyBorder="1" applyAlignment="1">
      <alignment horizontal="center" wrapText="1"/>
    </xf>
  </cellXfs>
  <cellStyles count="4">
    <cellStyle name="Normal" xfId="0" builtinId="0"/>
    <cellStyle name="Normal 2" xfId="1" xr:uid="{2C42A52E-832D-4255-AB99-73BB821C68F4}"/>
    <cellStyle name="Normal 3" xfId="3" xr:uid="{EF41866E-4A6A-4BAF-A312-80549F5A3787}"/>
    <cellStyle name="常规 2 2" xfId="2" xr:uid="{D1DCDEE1-D36E-4ADF-B865-3629B430CF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361950</xdr:colOff>
      <xdr:row>9</xdr:row>
      <xdr:rowOff>95250</xdr:rowOff>
    </xdr:from>
    <xdr:to>
      <xdr:col>26</xdr:col>
      <xdr:colOff>0</xdr:colOff>
      <xdr:row>19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AAE2104-A11A-6875-F04E-B9E501E2E921}"/>
            </a:ext>
          </a:extLst>
        </xdr:cNvPr>
        <xdr:cNvCxnSpPr/>
      </xdr:nvCxnSpPr>
      <xdr:spPr>
        <a:xfrm>
          <a:off x="27155775" y="1695450"/>
          <a:ext cx="4391025" cy="2038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371475</xdr:colOff>
      <xdr:row>10</xdr:row>
      <xdr:rowOff>123825</xdr:rowOff>
    </xdr:from>
    <xdr:to>
      <xdr:col>26</xdr:col>
      <xdr:colOff>0</xdr:colOff>
      <xdr:row>25</xdr:row>
      <xdr:rowOff>85725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C431016-6973-4C6E-8FE0-09A4764423A6}"/>
            </a:ext>
          </a:extLst>
        </xdr:cNvPr>
        <xdr:cNvCxnSpPr/>
      </xdr:nvCxnSpPr>
      <xdr:spPr>
        <a:xfrm>
          <a:off x="27165300" y="1914525"/>
          <a:ext cx="4381500" cy="29813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1</xdr:col>
      <xdr:colOff>323850</xdr:colOff>
      <xdr:row>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73C0F3E-8389-4730-83D4-886C7E527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885825" cy="504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1</xdr:col>
      <xdr:colOff>323850</xdr:colOff>
      <xdr:row>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CA413B2-CEC6-4212-8DFF-6A32CF5AB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885825" cy="504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6084-8726-48B0-8F0A-3B512199FFF0}">
  <dimension ref="B6:AM88"/>
  <sheetViews>
    <sheetView tabSelected="1" topLeftCell="AJ16" zoomScaleNormal="100" workbookViewId="0">
      <selection activeCell="AN26" sqref="AN26"/>
    </sheetView>
  </sheetViews>
  <sheetFormatPr defaultRowHeight="15"/>
  <cols>
    <col min="3" max="3" width="24.42578125" customWidth="1"/>
    <col min="4" max="4" width="29.85546875" bestFit="1" customWidth="1"/>
    <col min="5" max="5" width="12.85546875" customWidth="1"/>
    <col min="6" max="6" width="27.42578125" bestFit="1" customWidth="1"/>
    <col min="7" max="7" width="12.28515625" customWidth="1"/>
    <col min="8" max="8" width="13" customWidth="1"/>
    <col min="9" max="9" width="24.5703125" customWidth="1"/>
    <col min="10" max="10" width="44.85546875" customWidth="1"/>
    <col min="13" max="13" width="20.140625" customWidth="1"/>
    <col min="14" max="14" width="20.7109375" customWidth="1"/>
    <col min="15" max="15" width="22.42578125" customWidth="1"/>
    <col min="16" max="16" width="22" customWidth="1"/>
    <col min="17" max="17" width="25" customWidth="1"/>
    <col min="18" max="18" width="25.85546875" customWidth="1"/>
    <col min="19" max="19" width="30.140625" bestFit="1" customWidth="1"/>
    <col min="22" max="22" width="24.42578125" customWidth="1"/>
    <col min="23" max="23" width="5.42578125" customWidth="1"/>
    <col min="24" max="24" width="25" bestFit="1" customWidth="1"/>
    <col min="25" max="25" width="25.5703125" customWidth="1"/>
    <col min="26" max="27" width="27" customWidth="1"/>
    <col min="28" max="28" width="25.42578125" customWidth="1"/>
    <col min="29" max="29" width="22.85546875" customWidth="1"/>
    <col min="30" max="30" width="27.42578125" bestFit="1" customWidth="1"/>
    <col min="32" max="32" width="18.42578125" customWidth="1"/>
    <col min="33" max="33" width="21.42578125" customWidth="1"/>
    <col min="34" max="34" width="26.5703125" customWidth="1"/>
    <col min="35" max="35" width="48.5703125" customWidth="1"/>
    <col min="36" max="36" width="25.5703125" customWidth="1"/>
    <col min="37" max="37" width="22.5703125" customWidth="1"/>
  </cols>
  <sheetData>
    <row r="6" spans="2:39" ht="37.5" customHeight="1">
      <c r="C6" s="317" t="s">
        <v>1330</v>
      </c>
      <c r="M6" s="132" t="s">
        <v>1217</v>
      </c>
      <c r="Q6" s="265"/>
      <c r="R6" s="266"/>
      <c r="S6" s="266"/>
      <c r="V6" s="122" t="s">
        <v>1204</v>
      </c>
      <c r="AF6" s="299" t="s">
        <v>1326</v>
      </c>
    </row>
    <row r="7" spans="2:39" s="2" customFormat="1" ht="47.25" customHeight="1">
      <c r="B7" s="113" t="s">
        <v>1170</v>
      </c>
      <c r="C7" s="249" t="s">
        <v>77</v>
      </c>
      <c r="D7" s="251" t="s">
        <v>69</v>
      </c>
      <c r="E7" s="249" t="s">
        <v>76</v>
      </c>
      <c r="F7" s="249" t="s">
        <v>89</v>
      </c>
      <c r="G7" s="249" t="s">
        <v>4</v>
      </c>
      <c r="H7" s="249" t="s">
        <v>6</v>
      </c>
      <c r="I7" s="249" t="s">
        <v>80</v>
      </c>
      <c r="J7" s="250" t="s">
        <v>7</v>
      </c>
      <c r="L7" s="113" t="s">
        <v>1171</v>
      </c>
      <c r="M7" s="275" t="s">
        <v>1321</v>
      </c>
      <c r="N7" s="276"/>
      <c r="O7" s="277"/>
      <c r="P7" s="132"/>
      <c r="Q7" s="267"/>
      <c r="R7" s="268"/>
      <c r="S7" s="268"/>
      <c r="U7" s="113" t="s">
        <v>1324</v>
      </c>
      <c r="V7" s="113"/>
      <c r="W7" s="113"/>
      <c r="X7" s="275" t="s">
        <v>1321</v>
      </c>
      <c r="Y7" s="276"/>
      <c r="Z7" s="277"/>
      <c r="AA7" s="132"/>
      <c r="AB7" s="267"/>
      <c r="AC7" s="268"/>
      <c r="AD7" s="268"/>
      <c r="AF7" s="275" t="s">
        <v>1321</v>
      </c>
      <c r="AG7" s="276"/>
      <c r="AH7" s="277"/>
      <c r="AI7" s="132"/>
      <c r="AJ7" s="267"/>
      <c r="AK7" s="268"/>
      <c r="AL7" s="268"/>
      <c r="AM7" s="2" t="s">
        <v>1325</v>
      </c>
    </row>
    <row r="8" spans="2:39" s="1" customFormat="1" ht="53.25" customHeight="1">
      <c r="C8" s="11" t="s">
        <v>0</v>
      </c>
      <c r="D8" s="11" t="s">
        <v>52</v>
      </c>
      <c r="E8" s="185"/>
      <c r="F8" s="26" t="s">
        <v>52</v>
      </c>
      <c r="G8" s="252"/>
      <c r="H8" s="185"/>
      <c r="I8" s="12" t="s">
        <v>91</v>
      </c>
      <c r="J8" s="157" t="s">
        <v>79</v>
      </c>
      <c r="L8" s="119"/>
      <c r="M8" s="6" t="s">
        <v>66</v>
      </c>
      <c r="N8" s="6" t="s">
        <v>77</v>
      </c>
      <c r="O8" s="8" t="s">
        <v>4</v>
      </c>
      <c r="P8" s="24" t="s">
        <v>6</v>
      </c>
      <c r="Q8" s="8" t="s">
        <v>80</v>
      </c>
      <c r="R8" s="8" t="s">
        <v>69</v>
      </c>
      <c r="S8" s="8" t="s">
        <v>89</v>
      </c>
      <c r="U8" s="119"/>
      <c r="V8" s="119"/>
      <c r="W8" s="119"/>
      <c r="X8" s="6" t="s">
        <v>66</v>
      </c>
      <c r="Y8" s="6" t="s">
        <v>77</v>
      </c>
      <c r="Z8" s="8" t="s">
        <v>4</v>
      </c>
      <c r="AA8" s="24" t="s">
        <v>6</v>
      </c>
      <c r="AB8" s="8" t="s">
        <v>80</v>
      </c>
      <c r="AC8" s="8" t="s">
        <v>69</v>
      </c>
      <c r="AD8" s="8" t="s">
        <v>89</v>
      </c>
      <c r="AF8" s="6" t="s">
        <v>66</v>
      </c>
      <c r="AG8" s="6" t="s">
        <v>77</v>
      </c>
      <c r="AH8" s="8" t="s">
        <v>4</v>
      </c>
      <c r="AI8" s="24" t="s">
        <v>6</v>
      </c>
      <c r="AJ8" s="8" t="s">
        <v>80</v>
      </c>
      <c r="AK8" s="8" t="s">
        <v>69</v>
      </c>
      <c r="AL8" s="8" t="s">
        <v>89</v>
      </c>
    </row>
    <row r="9" spans="2:39" ht="41.25" customHeight="1">
      <c r="C9" s="7" t="s">
        <v>1</v>
      </c>
      <c r="D9" s="7" t="s">
        <v>88</v>
      </c>
      <c r="E9" s="186"/>
      <c r="F9" s="26" t="s">
        <v>95</v>
      </c>
      <c r="G9" s="253"/>
      <c r="H9" s="186"/>
      <c r="I9" s="7" t="s">
        <v>90</v>
      </c>
      <c r="J9" s="158"/>
      <c r="M9" s="15">
        <v>45888</v>
      </c>
      <c r="N9" s="11" t="s">
        <v>11</v>
      </c>
      <c r="O9" s="26" t="s">
        <v>13</v>
      </c>
      <c r="P9" s="25" t="s">
        <v>14</v>
      </c>
      <c r="Q9" s="26" t="s">
        <v>81</v>
      </c>
      <c r="R9" s="26" t="s">
        <v>12</v>
      </c>
      <c r="S9" s="26" t="s">
        <v>95</v>
      </c>
      <c r="X9" s="15">
        <v>45888</v>
      </c>
      <c r="Y9" s="11" t="s">
        <v>11</v>
      </c>
      <c r="Z9" s="26" t="s">
        <v>13</v>
      </c>
      <c r="AA9" s="25" t="s">
        <v>14</v>
      </c>
      <c r="AB9" s="26" t="s">
        <v>81</v>
      </c>
      <c r="AC9" s="26" t="s">
        <v>12</v>
      </c>
      <c r="AD9" s="26" t="s">
        <v>95</v>
      </c>
      <c r="AF9" s="15">
        <v>45888</v>
      </c>
      <c r="AG9" s="11" t="s">
        <v>11</v>
      </c>
      <c r="AH9" s="26" t="s">
        <v>13</v>
      </c>
      <c r="AI9" s="25" t="s">
        <v>14</v>
      </c>
      <c r="AJ9" s="26" t="s">
        <v>81</v>
      </c>
      <c r="AK9" s="26" t="s">
        <v>12</v>
      </c>
      <c r="AL9" s="26" t="s">
        <v>95</v>
      </c>
    </row>
    <row r="10" spans="2:39" ht="17.25" customHeight="1">
      <c r="C10" s="7" t="s">
        <v>2</v>
      </c>
      <c r="D10" s="7" t="s">
        <v>53</v>
      </c>
      <c r="E10" s="186"/>
      <c r="F10" s="26" t="s">
        <v>96</v>
      </c>
      <c r="G10" s="253"/>
      <c r="H10" s="186"/>
      <c r="I10" s="7" t="s">
        <v>93</v>
      </c>
      <c r="J10" s="158"/>
      <c r="M10" s="271" t="s">
        <v>1239</v>
      </c>
      <c r="N10" s="272"/>
      <c r="O10" s="8" t="s">
        <v>1241</v>
      </c>
      <c r="P10" s="9" t="s">
        <v>1242</v>
      </c>
      <c r="Q10" s="9" t="s">
        <v>67</v>
      </c>
      <c r="R10" s="9" t="s">
        <v>1243</v>
      </c>
      <c r="S10" s="9" t="s">
        <v>1214</v>
      </c>
      <c r="X10" s="271" t="s">
        <v>1239</v>
      </c>
      <c r="Y10" s="272"/>
      <c r="Z10" s="8" t="s">
        <v>1241</v>
      </c>
      <c r="AA10" s="9" t="s">
        <v>1242</v>
      </c>
      <c r="AB10" s="9" t="s">
        <v>67</v>
      </c>
      <c r="AC10" s="9" t="s">
        <v>1243</v>
      </c>
      <c r="AD10" s="9" t="s">
        <v>1214</v>
      </c>
      <c r="AF10" s="271" t="s">
        <v>1239</v>
      </c>
      <c r="AG10" s="272"/>
      <c r="AH10" s="8" t="s">
        <v>1241</v>
      </c>
      <c r="AI10" s="9" t="s">
        <v>1242</v>
      </c>
      <c r="AJ10" s="9" t="s">
        <v>67</v>
      </c>
      <c r="AK10" s="9" t="s">
        <v>1243</v>
      </c>
      <c r="AL10" s="9" t="s">
        <v>1214</v>
      </c>
    </row>
    <row r="11" spans="2:39" ht="29.25" customHeight="1">
      <c r="C11" s="7" t="s">
        <v>3</v>
      </c>
      <c r="D11" s="7" t="s">
        <v>54</v>
      </c>
      <c r="E11" s="186"/>
      <c r="F11" s="186"/>
      <c r="G11" s="253"/>
      <c r="H11" s="186"/>
      <c r="I11" s="16" t="s">
        <v>92</v>
      </c>
      <c r="J11" s="158"/>
      <c r="M11" s="269" t="s">
        <v>1247</v>
      </c>
      <c r="N11" s="270"/>
      <c r="O11" s="273" t="s">
        <v>1249</v>
      </c>
      <c r="P11" s="274" t="s">
        <v>1318</v>
      </c>
      <c r="Q11" s="118" t="s">
        <v>1322</v>
      </c>
      <c r="R11" s="118" t="s">
        <v>1229</v>
      </c>
      <c r="S11" s="11" t="s">
        <v>15</v>
      </c>
      <c r="X11" s="269" t="s">
        <v>1247</v>
      </c>
      <c r="Y11" s="270"/>
      <c r="Z11" s="273" t="s">
        <v>1249</v>
      </c>
      <c r="AA11" s="274" t="s">
        <v>1318</v>
      </c>
      <c r="AB11" s="118" t="s">
        <v>1322</v>
      </c>
      <c r="AC11" s="118" t="s">
        <v>1229</v>
      </c>
      <c r="AD11" s="11" t="s">
        <v>15</v>
      </c>
      <c r="AF11" s="269" t="s">
        <v>1247</v>
      </c>
      <c r="AG11" s="270"/>
      <c r="AH11" s="273" t="s">
        <v>1249</v>
      </c>
      <c r="AI11" s="274" t="s">
        <v>1318</v>
      </c>
      <c r="AJ11" s="118" t="s">
        <v>1322</v>
      </c>
      <c r="AK11" s="118" t="s">
        <v>1229</v>
      </c>
      <c r="AL11" s="11" t="s">
        <v>15</v>
      </c>
    </row>
    <row r="12" spans="2:39" ht="46.5" customHeight="1">
      <c r="C12" s="16"/>
      <c r="D12" s="7" t="s">
        <v>55</v>
      </c>
      <c r="E12" s="186"/>
      <c r="F12" s="186"/>
      <c r="G12" s="253"/>
      <c r="H12" s="186"/>
      <c r="I12" s="7" t="s">
        <v>94</v>
      </c>
      <c r="J12" s="158"/>
      <c r="M12" s="208" t="s">
        <v>78</v>
      </c>
      <c r="N12" s="208"/>
      <c r="O12" s="125" t="s">
        <v>1215</v>
      </c>
      <c r="P12" s="10" t="s">
        <v>70</v>
      </c>
      <c r="Q12" s="10" t="s">
        <v>71</v>
      </c>
      <c r="R12" s="188" t="s">
        <v>1206</v>
      </c>
      <c r="S12" s="189"/>
      <c r="X12" s="116" t="s">
        <v>78</v>
      </c>
      <c r="Y12" s="125" t="s">
        <v>1207</v>
      </c>
      <c r="Z12" s="10" t="s">
        <v>70</v>
      </c>
      <c r="AA12" s="10" t="s">
        <v>71</v>
      </c>
      <c r="AB12" s="10" t="s">
        <v>1201</v>
      </c>
      <c r="AC12" s="208" t="s">
        <v>1200</v>
      </c>
      <c r="AD12" s="208"/>
      <c r="AF12" s="116" t="s">
        <v>78</v>
      </c>
      <c r="AG12" s="125" t="s">
        <v>1207</v>
      </c>
      <c r="AH12" s="10" t="s">
        <v>70</v>
      </c>
      <c r="AI12" s="10" t="s">
        <v>71</v>
      </c>
      <c r="AJ12" s="10" t="s">
        <v>1201</v>
      </c>
      <c r="AK12" s="208" t="s">
        <v>1200</v>
      </c>
      <c r="AL12" s="208"/>
    </row>
    <row r="13" spans="2:39" ht="33.75" customHeight="1">
      <c r="C13" s="17"/>
      <c r="D13" s="7" t="s">
        <v>95</v>
      </c>
      <c r="E13" s="186"/>
      <c r="F13" s="186"/>
      <c r="G13" s="253"/>
      <c r="H13" s="186"/>
      <c r="I13" s="7" t="s">
        <v>10</v>
      </c>
      <c r="J13" s="158"/>
      <c r="M13" s="26" t="s">
        <v>23</v>
      </c>
      <c r="N13" s="26" t="s">
        <v>29</v>
      </c>
      <c r="O13" s="26" t="s">
        <v>1216</v>
      </c>
      <c r="P13" s="26" t="s">
        <v>34</v>
      </c>
      <c r="Q13" s="190"/>
      <c r="R13" s="193"/>
      <c r="S13" s="194"/>
      <c r="X13" s="118" t="s">
        <v>24</v>
      </c>
      <c r="Y13" s="11" t="s">
        <v>15</v>
      </c>
      <c r="Z13" s="114" t="s">
        <v>1191</v>
      </c>
      <c r="AA13" s="118" t="s">
        <v>1192</v>
      </c>
      <c r="AB13" s="15">
        <v>45890</v>
      </c>
      <c r="AC13" s="138">
        <v>45890</v>
      </c>
      <c r="AD13" s="138"/>
      <c r="AF13" s="118" t="s">
        <v>24</v>
      </c>
      <c r="AG13" s="11" t="s">
        <v>15</v>
      </c>
      <c r="AH13" s="114" t="s">
        <v>1191</v>
      </c>
      <c r="AI13" s="118" t="s">
        <v>1192</v>
      </c>
      <c r="AJ13" s="15">
        <v>45890</v>
      </c>
      <c r="AK13" s="138">
        <v>45890</v>
      </c>
      <c r="AL13" s="138"/>
    </row>
    <row r="14" spans="2:39" ht="17.25" customHeight="1">
      <c r="C14" s="17"/>
      <c r="D14" s="7" t="s">
        <v>56</v>
      </c>
      <c r="E14" s="186"/>
      <c r="F14" s="186"/>
      <c r="G14" s="253"/>
      <c r="H14" s="186"/>
      <c r="J14" s="158"/>
      <c r="M14" s="26" t="s">
        <v>24</v>
      </c>
      <c r="N14" s="26" t="s">
        <v>30</v>
      </c>
      <c r="O14" s="26"/>
      <c r="P14" s="26" t="s">
        <v>35</v>
      </c>
      <c r="Q14" s="191"/>
      <c r="R14" s="195"/>
      <c r="S14" s="196"/>
      <c r="X14" s="140" t="s">
        <v>1237</v>
      </c>
      <c r="Y14" s="141"/>
      <c r="Z14" s="21" t="s">
        <v>1198</v>
      </c>
      <c r="AA14" s="19" t="s">
        <v>72</v>
      </c>
      <c r="AB14" s="142" t="s">
        <v>73</v>
      </c>
      <c r="AC14" s="142"/>
      <c r="AD14" s="142"/>
      <c r="AF14" s="140" t="s">
        <v>1237</v>
      </c>
      <c r="AG14" s="141"/>
      <c r="AH14" s="21" t="s">
        <v>1198</v>
      </c>
      <c r="AI14" s="19" t="s">
        <v>72</v>
      </c>
      <c r="AJ14" s="142" t="s">
        <v>73</v>
      </c>
      <c r="AK14" s="142"/>
      <c r="AL14" s="142"/>
    </row>
    <row r="15" spans="2:39" ht="17.25" customHeight="1">
      <c r="C15" s="17"/>
      <c r="D15" s="7" t="s">
        <v>57</v>
      </c>
      <c r="E15" s="186"/>
      <c r="F15" s="186"/>
      <c r="G15" s="253"/>
      <c r="H15" s="186"/>
      <c r="I15" s="17"/>
      <c r="J15" s="158"/>
      <c r="M15" s="26" t="s">
        <v>25</v>
      </c>
      <c r="N15" s="26" t="s">
        <v>31</v>
      </c>
      <c r="O15" s="26"/>
      <c r="P15" s="185"/>
      <c r="Q15" s="191"/>
      <c r="R15" s="195"/>
      <c r="S15" s="196"/>
      <c r="X15" s="7" t="s">
        <v>18</v>
      </c>
      <c r="Y15" s="120" t="s">
        <v>1193</v>
      </c>
      <c r="Z15" s="157" t="s">
        <v>1197</v>
      </c>
      <c r="AA15" s="302" t="s">
        <v>110</v>
      </c>
      <c r="AB15" s="300" t="s">
        <v>110</v>
      </c>
      <c r="AC15" s="301"/>
      <c r="AD15" s="301"/>
      <c r="AF15" s="7" t="s">
        <v>18</v>
      </c>
      <c r="AG15" s="120" t="s">
        <v>1193</v>
      </c>
      <c r="AH15" s="157" t="s">
        <v>1197</v>
      </c>
      <c r="AI15" s="154"/>
      <c r="AJ15" s="143"/>
      <c r="AK15" s="320"/>
      <c r="AL15" s="144"/>
    </row>
    <row r="16" spans="2:39" ht="17.25" customHeight="1">
      <c r="C16" s="17"/>
      <c r="D16" s="7" t="s">
        <v>58</v>
      </c>
      <c r="E16" s="186"/>
      <c r="F16" s="186"/>
      <c r="G16" s="253"/>
      <c r="H16" s="186"/>
      <c r="I16" s="17"/>
      <c r="J16" s="158"/>
      <c r="M16" s="26" t="s">
        <v>26</v>
      </c>
      <c r="N16" s="26" t="s">
        <v>32</v>
      </c>
      <c r="O16" s="26"/>
      <c r="P16" s="186"/>
      <c r="Q16" s="191"/>
      <c r="R16" s="195"/>
      <c r="S16" s="196"/>
      <c r="X16" s="7" t="s">
        <v>19</v>
      </c>
      <c r="Y16" s="120" t="s">
        <v>1194</v>
      </c>
      <c r="Z16" s="158"/>
      <c r="AA16" s="303"/>
      <c r="AB16" s="301"/>
      <c r="AC16" s="301"/>
      <c r="AD16" s="301"/>
      <c r="AF16" s="7" t="s">
        <v>19</v>
      </c>
      <c r="AG16" s="120" t="s">
        <v>1194</v>
      </c>
      <c r="AH16" s="158"/>
      <c r="AI16" s="155"/>
      <c r="AJ16" s="145"/>
      <c r="AK16" s="278"/>
      <c r="AL16" s="146"/>
    </row>
    <row r="17" spans="3:38" ht="17.25" customHeight="1">
      <c r="C17" s="17"/>
      <c r="D17" s="7" t="s">
        <v>59</v>
      </c>
      <c r="E17" s="186"/>
      <c r="F17" s="186"/>
      <c r="G17" s="253"/>
      <c r="H17" s="186"/>
      <c r="I17" s="17"/>
      <c r="J17" s="158"/>
      <c r="M17" s="26" t="s">
        <v>27</v>
      </c>
      <c r="N17" s="26" t="s">
        <v>33</v>
      </c>
      <c r="O17" s="26"/>
      <c r="P17" s="186"/>
      <c r="Q17" s="191"/>
      <c r="R17" s="195"/>
      <c r="S17" s="196"/>
      <c r="X17" s="7" t="s">
        <v>20</v>
      </c>
      <c r="Y17" s="120" t="s">
        <v>1195</v>
      </c>
      <c r="Z17" s="158"/>
      <c r="AA17" s="303"/>
      <c r="AB17" s="301"/>
      <c r="AC17" s="301"/>
      <c r="AD17" s="301"/>
      <c r="AF17" s="7" t="s">
        <v>20</v>
      </c>
      <c r="AG17" s="120" t="s">
        <v>1195</v>
      </c>
      <c r="AH17" s="158"/>
      <c r="AI17" s="155"/>
      <c r="AJ17" s="145"/>
      <c r="AK17" s="278"/>
      <c r="AL17" s="146"/>
    </row>
    <row r="18" spans="3:38" ht="17.25" customHeight="1">
      <c r="C18" s="17"/>
      <c r="D18" s="7" t="s">
        <v>60</v>
      </c>
      <c r="E18" s="186"/>
      <c r="F18" s="186"/>
      <c r="G18" s="253"/>
      <c r="H18" s="186"/>
      <c r="I18" s="17"/>
      <c r="J18" s="158"/>
      <c r="M18" s="26" t="s">
        <v>28</v>
      </c>
      <c r="N18" s="26"/>
      <c r="O18" s="26"/>
      <c r="P18" s="187"/>
      <c r="Q18" s="192"/>
      <c r="R18" s="197"/>
      <c r="S18" s="198"/>
      <c r="X18" s="7" t="s">
        <v>21</v>
      </c>
      <c r="Y18" s="120" t="s">
        <v>1196</v>
      </c>
      <c r="Z18" s="158"/>
      <c r="AA18" s="303"/>
      <c r="AB18" s="301"/>
      <c r="AC18" s="301"/>
      <c r="AD18" s="301"/>
      <c r="AF18" s="7" t="s">
        <v>21</v>
      </c>
      <c r="AG18" s="120" t="s">
        <v>1196</v>
      </c>
      <c r="AH18" s="158"/>
      <c r="AI18" s="155"/>
      <c r="AJ18" s="145"/>
      <c r="AK18" s="278"/>
      <c r="AL18" s="146"/>
    </row>
    <row r="19" spans="3:38" ht="17.25" customHeight="1">
      <c r="C19" s="17"/>
      <c r="D19" s="7" t="s">
        <v>61</v>
      </c>
      <c r="E19" s="186"/>
      <c r="F19" s="186"/>
      <c r="G19" s="253"/>
      <c r="H19" s="186"/>
      <c r="I19" s="17"/>
      <c r="J19" s="158"/>
      <c r="M19" s="173"/>
      <c r="N19" s="174"/>
      <c r="O19" s="174"/>
      <c r="P19" s="174"/>
      <c r="Q19" s="174"/>
      <c r="R19" s="174"/>
      <c r="S19" s="175"/>
      <c r="X19" s="120" t="s">
        <v>22</v>
      </c>
      <c r="Y19" s="7"/>
      <c r="Z19" s="159"/>
      <c r="AA19" s="304"/>
      <c r="AB19" s="301"/>
      <c r="AC19" s="301"/>
      <c r="AD19" s="301"/>
      <c r="AF19" s="120" t="s">
        <v>22</v>
      </c>
      <c r="AG19" s="7"/>
      <c r="AH19" s="158"/>
      <c r="AI19" s="155"/>
      <c r="AJ19" s="145"/>
      <c r="AK19" s="278"/>
      <c r="AL19" s="146"/>
    </row>
    <row r="20" spans="3:38" ht="17.25" customHeight="1">
      <c r="C20" s="18"/>
      <c r="D20" s="7" t="s">
        <v>96</v>
      </c>
      <c r="E20" s="187"/>
      <c r="F20" s="187"/>
      <c r="G20" s="254"/>
      <c r="H20" s="187"/>
      <c r="I20" s="18"/>
      <c r="J20" s="159"/>
      <c r="M20" s="140" t="s">
        <v>16</v>
      </c>
      <c r="N20" s="280"/>
      <c r="O20" s="280"/>
      <c r="P20" s="141"/>
      <c r="Q20" s="200" t="s">
        <v>17</v>
      </c>
      <c r="R20" s="200"/>
      <c r="S20" s="200"/>
      <c r="X20" s="160" t="s">
        <v>1331</v>
      </c>
      <c r="Y20" s="161"/>
      <c r="Z20" s="136"/>
      <c r="AA20" s="318"/>
      <c r="AB20" s="318"/>
      <c r="AC20" s="319"/>
      <c r="AD20" s="319"/>
      <c r="AF20" s="160" t="s">
        <v>1331</v>
      </c>
      <c r="AG20" s="161"/>
      <c r="AH20" s="159"/>
      <c r="AI20" s="156"/>
      <c r="AJ20" s="147"/>
      <c r="AK20" s="321"/>
      <c r="AL20" s="148"/>
    </row>
    <row r="21" spans="3:38">
      <c r="C21" s="142" t="s">
        <v>1239</v>
      </c>
      <c r="D21" s="142"/>
      <c r="E21" s="208" t="s">
        <v>1241</v>
      </c>
      <c r="F21" s="208"/>
      <c r="G21" s="255" t="s">
        <v>1243</v>
      </c>
      <c r="H21" s="256"/>
      <c r="I21" s="255" t="s">
        <v>1242</v>
      </c>
      <c r="J21" s="256"/>
      <c r="M21" s="281" t="s">
        <v>39</v>
      </c>
      <c r="N21" s="282"/>
      <c r="O21" s="282"/>
      <c r="P21" s="283"/>
      <c r="Q21" s="201" t="s">
        <v>18</v>
      </c>
      <c r="R21" s="201"/>
      <c r="S21" s="201"/>
      <c r="X21" s="162" t="s">
        <v>1220</v>
      </c>
      <c r="Y21" s="163"/>
      <c r="Z21" s="20" t="s">
        <v>1219</v>
      </c>
      <c r="AA21" s="20" t="s">
        <v>1222</v>
      </c>
      <c r="AB21" s="279" t="s">
        <v>74</v>
      </c>
      <c r="AC21" s="142" t="s">
        <v>75</v>
      </c>
      <c r="AD21" s="142"/>
      <c r="AF21" s="162" t="s">
        <v>1220</v>
      </c>
      <c r="AG21" s="163"/>
      <c r="AH21" s="20" t="s">
        <v>1219</v>
      </c>
      <c r="AI21" s="20" t="s">
        <v>1222</v>
      </c>
      <c r="AJ21" s="279" t="s">
        <v>74</v>
      </c>
      <c r="AK21" s="142" t="s">
        <v>75</v>
      </c>
      <c r="AL21" s="142"/>
    </row>
    <row r="22" spans="3:38">
      <c r="C22" s="258"/>
      <c r="D22" s="259"/>
      <c r="E22" s="260"/>
      <c r="F22" s="261"/>
      <c r="G22" s="262" t="s">
        <v>1316</v>
      </c>
      <c r="H22" s="263" t="s">
        <v>1317</v>
      </c>
      <c r="I22" s="262"/>
      <c r="J22" s="263"/>
      <c r="M22" s="284"/>
      <c r="N22" s="285"/>
      <c r="O22" s="285"/>
      <c r="P22" s="286"/>
      <c r="Q22" s="201" t="s">
        <v>19</v>
      </c>
      <c r="R22" s="201"/>
      <c r="S22" s="201"/>
      <c r="X22" s="160" t="s">
        <v>49</v>
      </c>
      <c r="Y22" s="161"/>
      <c r="Z22" s="7" t="s">
        <v>1199</v>
      </c>
      <c r="AA22" s="7" t="s">
        <v>51</v>
      </c>
      <c r="AB22" s="7" t="s">
        <v>64</v>
      </c>
      <c r="AC22" s="201" t="s">
        <v>42</v>
      </c>
      <c r="AD22" s="201"/>
      <c r="AF22" s="160" t="s">
        <v>49</v>
      </c>
      <c r="AG22" s="161"/>
      <c r="AH22" s="7" t="s">
        <v>1199</v>
      </c>
      <c r="AI22" s="7" t="s">
        <v>51</v>
      </c>
      <c r="AJ22" s="7" t="s">
        <v>64</v>
      </c>
      <c r="AK22" s="201" t="s">
        <v>42</v>
      </c>
      <c r="AL22" s="201"/>
    </row>
    <row r="23" spans="3:38">
      <c r="C23" s="209" t="s">
        <v>1244</v>
      </c>
      <c r="D23" s="257"/>
      <c r="E23" s="257"/>
      <c r="F23" s="257"/>
      <c r="G23" s="257"/>
      <c r="H23" s="257"/>
      <c r="I23" s="257"/>
      <c r="J23" s="210"/>
      <c r="M23" s="284"/>
      <c r="N23" s="285"/>
      <c r="O23" s="285"/>
      <c r="P23" s="286"/>
      <c r="Q23" s="201" t="s">
        <v>20</v>
      </c>
      <c r="R23" s="201"/>
      <c r="S23" s="201"/>
      <c r="X23" s="149" t="s">
        <v>1223</v>
      </c>
      <c r="Y23" s="149"/>
      <c r="Z23" s="149"/>
      <c r="AA23" s="115" t="s">
        <v>1224</v>
      </c>
      <c r="AB23" s="115" t="s">
        <v>1225</v>
      </c>
      <c r="AC23" s="149" t="s">
        <v>1226</v>
      </c>
      <c r="AD23" s="149"/>
      <c r="AF23" s="149" t="s">
        <v>1223</v>
      </c>
      <c r="AG23" s="149"/>
      <c r="AH23" s="149"/>
      <c r="AI23" s="115" t="s">
        <v>1224</v>
      </c>
      <c r="AJ23" s="115" t="s">
        <v>1225</v>
      </c>
      <c r="AK23" s="149" t="s">
        <v>1226</v>
      </c>
      <c r="AL23" s="149"/>
    </row>
    <row r="24" spans="3:38">
      <c r="C24" s="173" t="s">
        <v>5</v>
      </c>
      <c r="D24" s="174"/>
      <c r="E24" s="174"/>
      <c r="F24" s="174"/>
      <c r="G24" s="174"/>
      <c r="H24" s="174"/>
      <c r="I24" s="174"/>
      <c r="J24" s="175"/>
      <c r="M24" s="287"/>
      <c r="N24" s="288"/>
      <c r="O24" s="288"/>
      <c r="P24" s="289"/>
      <c r="Q24" s="201" t="s">
        <v>21</v>
      </c>
      <c r="R24" s="201"/>
      <c r="S24" s="201"/>
      <c r="X24" s="115" t="s">
        <v>1208</v>
      </c>
      <c r="Y24" s="115" t="s">
        <v>1212</v>
      </c>
      <c r="Z24" s="115" t="s">
        <v>1213</v>
      </c>
      <c r="AA24" s="7" t="s">
        <v>1209</v>
      </c>
      <c r="AB24" s="150"/>
      <c r="AC24" s="201"/>
      <c r="AD24" s="201"/>
      <c r="AF24" s="115" t="s">
        <v>1208</v>
      </c>
      <c r="AG24" s="115" t="s">
        <v>1212</v>
      </c>
      <c r="AH24" s="115" t="s">
        <v>1213</v>
      </c>
      <c r="AI24" s="293" t="s">
        <v>1209</v>
      </c>
      <c r="AJ24" s="138">
        <v>45891</v>
      </c>
      <c r="AK24" s="295" t="s">
        <v>110</v>
      </c>
      <c r="AL24" s="296"/>
    </row>
    <row r="25" spans="3:38" ht="15.75" customHeight="1">
      <c r="C25" s="246" t="s">
        <v>8</v>
      </c>
      <c r="D25" s="247"/>
      <c r="E25" s="247"/>
      <c r="F25" s="247"/>
      <c r="G25" s="247"/>
      <c r="H25" s="247"/>
      <c r="I25" s="247"/>
      <c r="J25" s="248"/>
      <c r="M25" s="290" t="s">
        <v>1323</v>
      </c>
      <c r="N25" s="291"/>
      <c r="O25" s="291"/>
      <c r="P25" s="292"/>
      <c r="Q25" s="201" t="s">
        <v>22</v>
      </c>
      <c r="R25" s="201"/>
      <c r="S25" s="201"/>
      <c r="X25" s="7" t="s">
        <v>64</v>
      </c>
      <c r="Y25" s="7" t="s">
        <v>64</v>
      </c>
      <c r="Z25" s="7" t="s">
        <v>64</v>
      </c>
      <c r="AA25" s="7" t="s">
        <v>1210</v>
      </c>
      <c r="AB25" s="151"/>
      <c r="AC25" s="201"/>
      <c r="AD25" s="201"/>
      <c r="AF25" s="7" t="s">
        <v>64</v>
      </c>
      <c r="AG25" s="7" t="s">
        <v>64</v>
      </c>
      <c r="AH25" s="7" t="s">
        <v>64</v>
      </c>
      <c r="AI25" s="294"/>
      <c r="AJ25" s="137"/>
      <c r="AK25" s="297"/>
      <c r="AL25" s="298"/>
    </row>
    <row r="26" spans="3:38" ht="15" customHeight="1">
      <c r="C26" s="173" t="s">
        <v>9</v>
      </c>
      <c r="D26" s="174"/>
      <c r="E26" s="174"/>
      <c r="F26" s="174"/>
      <c r="G26" s="174"/>
      <c r="H26" s="174"/>
      <c r="I26" s="174"/>
      <c r="J26" s="175"/>
      <c r="M26" s="21" t="s">
        <v>36</v>
      </c>
      <c r="N26" s="126"/>
      <c r="O26" s="22"/>
      <c r="P26" s="20" t="s">
        <v>37</v>
      </c>
      <c r="Q26" s="20" t="s">
        <v>50</v>
      </c>
      <c r="R26" s="209" t="s">
        <v>38</v>
      </c>
      <c r="S26" s="210"/>
      <c r="X26" s="137" t="s">
        <v>65</v>
      </c>
      <c r="Y26" s="137" t="s">
        <v>65</v>
      </c>
      <c r="Z26" s="137" t="s">
        <v>65</v>
      </c>
      <c r="AA26" s="7" t="s">
        <v>1211</v>
      </c>
      <c r="AB26" s="151"/>
      <c r="AC26" s="201"/>
      <c r="AD26" s="201"/>
      <c r="AE26" s="127"/>
    </row>
    <row r="27" spans="3:38">
      <c r="M27" s="27" t="s">
        <v>48</v>
      </c>
      <c r="N27" s="130" t="s">
        <v>42</v>
      </c>
      <c r="O27" s="131"/>
      <c r="P27" s="150"/>
      <c r="Q27" s="150"/>
      <c r="R27" s="201" t="s">
        <v>51</v>
      </c>
      <c r="S27" s="201"/>
      <c r="X27" s="137"/>
      <c r="Y27" s="137"/>
      <c r="Z27" s="137"/>
      <c r="AA27" s="7" t="s">
        <v>88</v>
      </c>
      <c r="AB27" s="152"/>
      <c r="AC27" s="201"/>
      <c r="AD27" s="201"/>
    </row>
    <row r="28" spans="3:38" ht="15.75" customHeight="1">
      <c r="M28" s="27" t="s">
        <v>43</v>
      </c>
      <c r="N28" s="128" t="s">
        <v>47</v>
      </c>
      <c r="O28" s="129"/>
      <c r="P28" s="151"/>
      <c r="Q28" s="151"/>
      <c r="R28" s="201" t="s">
        <v>63</v>
      </c>
      <c r="S28" s="201"/>
    </row>
    <row r="29" spans="3:38" ht="30" customHeight="1">
      <c r="C29" s="3" t="s">
        <v>1239</v>
      </c>
      <c r="D29" s="13" t="s">
        <v>1240</v>
      </c>
      <c r="E29" s="3"/>
      <c r="F29" s="3" t="s">
        <v>1242</v>
      </c>
      <c r="G29" s="3"/>
      <c r="H29" s="3"/>
      <c r="I29" s="4"/>
      <c r="M29" s="201" t="s">
        <v>45</v>
      </c>
      <c r="N29" s="201"/>
      <c r="O29" s="201"/>
      <c r="P29" s="151"/>
      <c r="Q29" s="151"/>
      <c r="R29" s="179"/>
      <c r="S29" s="180"/>
      <c r="X29" s="164" t="s">
        <v>1203</v>
      </c>
      <c r="Y29" s="165" t="s">
        <v>1202</v>
      </c>
    </row>
    <row r="30" spans="3:38" ht="21">
      <c r="C30" t="s">
        <v>1247</v>
      </c>
      <c r="D30" s="264" t="s">
        <v>1248</v>
      </c>
      <c r="F30" s="264" t="s">
        <v>1318</v>
      </c>
      <c r="M30" s="201" t="s">
        <v>46</v>
      </c>
      <c r="N30" s="201"/>
      <c r="O30" s="201"/>
      <c r="P30" s="151"/>
      <c r="Q30" s="151"/>
      <c r="R30" s="181"/>
      <c r="S30" s="182"/>
      <c r="X30" s="164"/>
      <c r="Y30" s="165"/>
    </row>
    <row r="31" spans="3:38">
      <c r="D31" s="264" t="s">
        <v>1249</v>
      </c>
      <c r="F31" s="264" t="s">
        <v>1319</v>
      </c>
      <c r="M31" s="201" t="s">
        <v>44</v>
      </c>
      <c r="N31" s="201"/>
      <c r="O31" s="201"/>
      <c r="P31" s="151"/>
      <c r="Q31" s="151"/>
      <c r="R31" s="181"/>
      <c r="S31" s="182"/>
    </row>
    <row r="32" spans="3:38">
      <c r="D32" s="264" t="s">
        <v>1250</v>
      </c>
      <c r="F32" s="264" t="s">
        <v>1320</v>
      </c>
      <c r="M32" s="201" t="s">
        <v>41</v>
      </c>
      <c r="N32" s="201"/>
      <c r="O32" s="201"/>
      <c r="P32" s="151"/>
      <c r="Q32" s="151"/>
      <c r="R32" s="181"/>
      <c r="S32" s="182"/>
    </row>
    <row r="33" spans="3:19">
      <c r="D33" s="264" t="s">
        <v>1251</v>
      </c>
      <c r="M33" s="201" t="s">
        <v>49</v>
      </c>
      <c r="N33" s="201"/>
      <c r="O33" s="201"/>
      <c r="P33" s="151"/>
      <c r="Q33" s="151"/>
      <c r="R33" s="181"/>
      <c r="S33" s="182"/>
    </row>
    <row r="34" spans="3:19">
      <c r="D34" s="264" t="s">
        <v>1252</v>
      </c>
      <c r="M34" s="201" t="s">
        <v>47</v>
      </c>
      <c r="N34" s="201"/>
      <c r="O34" s="201"/>
      <c r="P34" s="152"/>
      <c r="Q34" s="152"/>
      <c r="R34" s="183"/>
      <c r="S34" s="184"/>
    </row>
    <row r="35" spans="3:19">
      <c r="D35" s="264" t="s">
        <v>1253</v>
      </c>
      <c r="M35" s="162" t="s">
        <v>1198</v>
      </c>
      <c r="N35" s="166"/>
      <c r="O35" s="163"/>
      <c r="P35" s="19" t="s">
        <v>72</v>
      </c>
      <c r="Q35" s="20" t="s">
        <v>73</v>
      </c>
      <c r="R35" s="20" t="s">
        <v>74</v>
      </c>
      <c r="S35" s="20" t="s">
        <v>75</v>
      </c>
    </row>
    <row r="36" spans="3:19">
      <c r="D36" s="264" t="s">
        <v>1254</v>
      </c>
      <c r="M36" s="202" t="s">
        <v>62</v>
      </c>
      <c r="N36" s="203"/>
      <c r="O36" s="204"/>
      <c r="P36" s="150"/>
      <c r="Q36" s="150"/>
      <c r="R36" s="23" t="s">
        <v>64</v>
      </c>
      <c r="S36" s="17" t="s">
        <v>42</v>
      </c>
    </row>
    <row r="37" spans="3:19">
      <c r="C37" t="s">
        <v>1255</v>
      </c>
      <c r="D37" s="264" t="s">
        <v>1256</v>
      </c>
      <c r="M37" s="202"/>
      <c r="N37" s="203"/>
      <c r="O37" s="204"/>
      <c r="P37" s="151"/>
      <c r="Q37" s="151"/>
      <c r="R37" s="23" t="s">
        <v>65</v>
      </c>
      <c r="S37" s="17" t="s">
        <v>43</v>
      </c>
    </row>
    <row r="38" spans="3:19">
      <c r="D38" s="264" t="s">
        <v>1257</v>
      </c>
      <c r="M38" s="202"/>
      <c r="N38" s="203"/>
      <c r="O38" s="204"/>
      <c r="P38" s="151"/>
      <c r="Q38" s="151"/>
      <c r="R38" s="151"/>
      <c r="S38" s="158" t="s">
        <v>41</v>
      </c>
    </row>
    <row r="39" spans="3:19">
      <c r="D39" s="264" t="s">
        <v>1258</v>
      </c>
      <c r="M39" s="205"/>
      <c r="N39" s="206"/>
      <c r="O39" s="207"/>
      <c r="P39" s="152"/>
      <c r="Q39" s="152"/>
      <c r="R39" s="152"/>
      <c r="S39" s="159"/>
    </row>
    <row r="40" spans="3:19">
      <c r="D40" s="264" t="s">
        <v>1259</v>
      </c>
    </row>
    <row r="41" spans="3:19">
      <c r="D41" s="264" t="s">
        <v>1260</v>
      </c>
    </row>
    <row r="42" spans="3:19" ht="19.5" customHeight="1">
      <c r="D42" s="264" t="s">
        <v>1261</v>
      </c>
    </row>
    <row r="43" spans="3:19">
      <c r="C43" t="s">
        <v>1262</v>
      </c>
      <c r="D43" s="264" t="s">
        <v>1263</v>
      </c>
    </row>
    <row r="44" spans="3:19">
      <c r="D44" s="264" t="s">
        <v>1264</v>
      </c>
    </row>
    <row r="45" spans="3:19">
      <c r="D45" s="264" t="s">
        <v>1265</v>
      </c>
    </row>
    <row r="46" spans="3:19">
      <c r="D46" s="264" t="s">
        <v>1266</v>
      </c>
    </row>
    <row r="47" spans="3:19">
      <c r="D47" s="264" t="s">
        <v>1267</v>
      </c>
    </row>
    <row r="48" spans="3:19">
      <c r="D48" s="264" t="s">
        <v>1268</v>
      </c>
    </row>
    <row r="49" spans="3:15">
      <c r="C49" t="s">
        <v>1269</v>
      </c>
      <c r="D49" s="264" t="s">
        <v>1270</v>
      </c>
    </row>
    <row r="50" spans="3:15">
      <c r="D50" s="264" t="s">
        <v>1271</v>
      </c>
      <c r="M50" s="14"/>
      <c r="N50" s="14"/>
      <c r="O50" s="14"/>
    </row>
    <row r="51" spans="3:15">
      <c r="D51" s="264" t="s">
        <v>1272</v>
      </c>
    </row>
    <row r="52" spans="3:15">
      <c r="D52" s="264" t="s">
        <v>1273</v>
      </c>
    </row>
    <row r="53" spans="3:15">
      <c r="D53" s="264" t="s">
        <v>1274</v>
      </c>
    </row>
    <row r="54" spans="3:15">
      <c r="D54" s="264" t="s">
        <v>1275</v>
      </c>
    </row>
    <row r="55" spans="3:15">
      <c r="D55" s="264" t="s">
        <v>1276</v>
      </c>
    </row>
    <row r="56" spans="3:15">
      <c r="D56" s="264" t="s">
        <v>1277</v>
      </c>
    </row>
    <row r="57" spans="3:15">
      <c r="D57" s="264" t="s">
        <v>1278</v>
      </c>
    </row>
    <row r="58" spans="3:15">
      <c r="D58" s="264" t="s">
        <v>1279</v>
      </c>
    </row>
    <row r="59" spans="3:15">
      <c r="C59" t="s">
        <v>1280</v>
      </c>
      <c r="D59" s="264" t="s">
        <v>1281</v>
      </c>
    </row>
    <row r="60" spans="3:15">
      <c r="D60" s="264" t="s">
        <v>1282</v>
      </c>
    </row>
    <row r="61" spans="3:15">
      <c r="D61" s="264" t="s">
        <v>1283</v>
      </c>
    </row>
    <row r="62" spans="3:15">
      <c r="D62" s="264" t="s">
        <v>1284</v>
      </c>
    </row>
    <row r="63" spans="3:15">
      <c r="C63" t="s">
        <v>1285</v>
      </c>
      <c r="D63" s="264" t="s">
        <v>1287</v>
      </c>
    </row>
    <row r="64" spans="3:15">
      <c r="D64" s="264" t="s">
        <v>1286</v>
      </c>
    </row>
    <row r="65" spans="3:4">
      <c r="D65" s="264" t="s">
        <v>1288</v>
      </c>
    </row>
    <row r="66" spans="3:4">
      <c r="D66" s="264" t="s">
        <v>1289</v>
      </c>
    </row>
    <row r="67" spans="3:4">
      <c r="C67" t="s">
        <v>1304</v>
      </c>
      <c r="D67" s="264" t="s">
        <v>1290</v>
      </c>
    </row>
    <row r="68" spans="3:4">
      <c r="D68" s="264" t="s">
        <v>1291</v>
      </c>
    </row>
    <row r="69" spans="3:4">
      <c r="D69" s="264" t="s">
        <v>1292</v>
      </c>
    </row>
    <row r="70" spans="3:4">
      <c r="D70" s="264" t="s">
        <v>1293</v>
      </c>
    </row>
    <row r="71" spans="3:4">
      <c r="D71" s="264" t="s">
        <v>1294</v>
      </c>
    </row>
    <row r="72" spans="3:4">
      <c r="D72" s="264" t="s">
        <v>1295</v>
      </c>
    </row>
    <row r="73" spans="3:4">
      <c r="C73" t="s">
        <v>1305</v>
      </c>
      <c r="D73" s="264" t="s">
        <v>1296</v>
      </c>
    </row>
    <row r="74" spans="3:4">
      <c r="D74" s="264" t="s">
        <v>1297</v>
      </c>
    </row>
    <row r="75" spans="3:4">
      <c r="D75" s="264" t="s">
        <v>1298</v>
      </c>
    </row>
    <row r="76" spans="3:4">
      <c r="D76" s="264" t="s">
        <v>1299</v>
      </c>
    </row>
    <row r="77" spans="3:4">
      <c r="D77" s="264" t="s">
        <v>1300</v>
      </c>
    </row>
    <row r="78" spans="3:4">
      <c r="D78" s="264" t="s">
        <v>1301</v>
      </c>
    </row>
    <row r="79" spans="3:4">
      <c r="D79" s="264" t="s">
        <v>1302</v>
      </c>
    </row>
    <row r="80" spans="3:4">
      <c r="D80" s="264" t="s">
        <v>1303</v>
      </c>
    </row>
    <row r="81" spans="3:4">
      <c r="C81" t="s">
        <v>1306</v>
      </c>
      <c r="D81" s="264" t="s">
        <v>1307</v>
      </c>
    </row>
    <row r="82" spans="3:4">
      <c r="D82" s="264" t="s">
        <v>1308</v>
      </c>
    </row>
    <row r="83" spans="3:4">
      <c r="D83" s="264" t="s">
        <v>1309</v>
      </c>
    </row>
    <row r="84" spans="3:4">
      <c r="C84" t="s">
        <v>1310</v>
      </c>
      <c r="D84" s="264" t="s">
        <v>1311</v>
      </c>
    </row>
    <row r="85" spans="3:4">
      <c r="D85" s="264" t="s">
        <v>1312</v>
      </c>
    </row>
    <row r="86" spans="3:4">
      <c r="D86" s="264" t="s">
        <v>1313</v>
      </c>
    </row>
    <row r="87" spans="3:4">
      <c r="D87" s="264" t="s">
        <v>1314</v>
      </c>
    </row>
    <row r="88" spans="3:4">
      <c r="D88" s="264" t="s">
        <v>1315</v>
      </c>
    </row>
  </sheetData>
  <mergeCells count="93">
    <mergeCell ref="AJ15:AL20"/>
    <mergeCell ref="AI15:AI20"/>
    <mergeCell ref="AH15:AH20"/>
    <mergeCell ref="AI24:AI25"/>
    <mergeCell ref="AJ24:AJ25"/>
    <mergeCell ref="AK24:AL25"/>
    <mergeCell ref="AK21:AL21"/>
    <mergeCell ref="AF22:AG22"/>
    <mergeCell ref="AK22:AL22"/>
    <mergeCell ref="AF23:AH23"/>
    <mergeCell ref="AK23:AL23"/>
    <mergeCell ref="AC21:AD21"/>
    <mergeCell ref="AC22:AD22"/>
    <mergeCell ref="AC23:AD23"/>
    <mergeCell ref="AC24:AD27"/>
    <mergeCell ref="M20:P20"/>
    <mergeCell ref="M21:P24"/>
    <mergeCell ref="M25:P25"/>
    <mergeCell ref="X20:Y20"/>
    <mergeCell ref="X7:Z7"/>
    <mergeCell ref="AC12:AD12"/>
    <mergeCell ref="AC13:AD13"/>
    <mergeCell ref="AB14:AD14"/>
    <mergeCell ref="AB15:AD19"/>
    <mergeCell ref="M7:O7"/>
    <mergeCell ref="M10:N10"/>
    <mergeCell ref="M11:N11"/>
    <mergeCell ref="I21:J21"/>
    <mergeCell ref="C23:J23"/>
    <mergeCell ref="C21:D21"/>
    <mergeCell ref="E21:F21"/>
    <mergeCell ref="G21:H21"/>
    <mergeCell ref="M32:O32"/>
    <mergeCell ref="M33:O33"/>
    <mergeCell ref="M34:O34"/>
    <mergeCell ref="M12:N12"/>
    <mergeCell ref="R26:S26"/>
    <mergeCell ref="R27:S27"/>
    <mergeCell ref="R28:S28"/>
    <mergeCell ref="M29:O29"/>
    <mergeCell ref="P27:P34"/>
    <mergeCell ref="P15:P18"/>
    <mergeCell ref="M19:S19"/>
    <mergeCell ref="Q20:S20"/>
    <mergeCell ref="Q21:S21"/>
    <mergeCell ref="Q22:S22"/>
    <mergeCell ref="Q23:S23"/>
    <mergeCell ref="Q24:S24"/>
    <mergeCell ref="Q25:S25"/>
    <mergeCell ref="X10:Y10"/>
    <mergeCell ref="X11:Y11"/>
    <mergeCell ref="E8:E20"/>
    <mergeCell ref="G8:G20"/>
    <mergeCell ref="H8:H20"/>
    <mergeCell ref="J8:J20"/>
    <mergeCell ref="F11:F20"/>
    <mergeCell ref="R12:S12"/>
    <mergeCell ref="Q13:Q18"/>
    <mergeCell ref="R13:S18"/>
    <mergeCell ref="X29:X30"/>
    <mergeCell ref="Y29:Y30"/>
    <mergeCell ref="C26:J26"/>
    <mergeCell ref="P36:P39"/>
    <mergeCell ref="Q36:Q39"/>
    <mergeCell ref="C24:J24"/>
    <mergeCell ref="C25:J25"/>
    <mergeCell ref="Q27:Q34"/>
    <mergeCell ref="R29:S34"/>
    <mergeCell ref="S38:S39"/>
    <mergeCell ref="R38:R39"/>
    <mergeCell ref="M36:O39"/>
    <mergeCell ref="M35:O35"/>
    <mergeCell ref="M30:O30"/>
    <mergeCell ref="M31:O31"/>
    <mergeCell ref="AF10:AG10"/>
    <mergeCell ref="AF7:AH7"/>
    <mergeCell ref="AF11:AG11"/>
    <mergeCell ref="AK12:AL12"/>
    <mergeCell ref="AK13:AL13"/>
    <mergeCell ref="AF14:AG14"/>
    <mergeCell ref="AJ14:AL14"/>
    <mergeCell ref="AF21:AG21"/>
    <mergeCell ref="AF20:AG20"/>
    <mergeCell ref="X14:Y14"/>
    <mergeCell ref="X23:Z23"/>
    <mergeCell ref="AB24:AB27"/>
    <mergeCell ref="X26:X27"/>
    <mergeCell ref="Y26:Y27"/>
    <mergeCell ref="Z26:Z27"/>
    <mergeCell ref="AA15:AA19"/>
    <mergeCell ref="Z15:Z19"/>
    <mergeCell ref="X22:Y22"/>
    <mergeCell ref="X21:Y2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0B78-B5B1-44EF-971B-4564B67316FF}">
  <dimension ref="C3:AQ35"/>
  <sheetViews>
    <sheetView topLeftCell="W5" workbookViewId="0">
      <selection activeCell="AP13" sqref="AP13:AR17"/>
    </sheetView>
  </sheetViews>
  <sheetFormatPr defaultRowHeight="15"/>
  <cols>
    <col min="7" max="8" width="31" customWidth="1"/>
    <col min="9" max="9" width="17.140625" customWidth="1"/>
    <col min="10" max="10" width="27.42578125" bestFit="1" customWidth="1"/>
    <col min="11" max="13" width="19.28515625" customWidth="1"/>
    <col min="14" max="14" width="28.42578125" customWidth="1"/>
    <col min="15" max="15" width="31" customWidth="1"/>
    <col min="18" max="18" width="11.7109375" customWidth="1"/>
    <col min="19" max="19" width="21.85546875" bestFit="1" customWidth="1"/>
    <col min="20" max="20" width="20.85546875" bestFit="1" customWidth="1"/>
    <col min="21" max="21" width="23.5703125" bestFit="1" customWidth="1"/>
    <col min="22" max="22" width="26.85546875" bestFit="1" customWidth="1"/>
    <col min="23" max="23" width="24.7109375" bestFit="1" customWidth="1"/>
    <col min="24" max="24" width="20.42578125" customWidth="1"/>
    <col min="25" max="25" width="17" customWidth="1"/>
    <col min="28" max="28" width="21.85546875" bestFit="1" customWidth="1"/>
    <col min="29" max="29" width="20.85546875" bestFit="1" customWidth="1"/>
    <col min="30" max="30" width="23.5703125" bestFit="1" customWidth="1"/>
    <col min="31" max="31" width="26.85546875" bestFit="1" customWidth="1"/>
    <col min="32" max="32" width="24.7109375" bestFit="1" customWidth="1"/>
    <col min="33" max="33" width="20.42578125" customWidth="1"/>
    <col min="34" max="34" width="17" customWidth="1"/>
    <col min="38" max="38" width="27.42578125" customWidth="1"/>
    <col min="39" max="39" width="18.140625" bestFit="1" customWidth="1"/>
    <col min="40" max="40" width="35.5703125" customWidth="1"/>
    <col min="41" max="41" width="24.85546875" bestFit="1" customWidth="1"/>
    <col min="42" max="42" width="26.85546875" bestFit="1" customWidth="1"/>
    <col min="43" max="43" width="15.85546875" bestFit="1" customWidth="1"/>
  </cols>
  <sheetData>
    <row r="3" spans="3:43" ht="24">
      <c r="G3" s="317" t="s">
        <v>1330</v>
      </c>
      <c r="S3" s="132" t="s">
        <v>1217</v>
      </c>
      <c r="AB3" s="122" t="s">
        <v>1204</v>
      </c>
      <c r="AL3" s="299" t="s">
        <v>1326</v>
      </c>
    </row>
    <row r="5" spans="3:43" ht="78.75">
      <c r="F5" s="112" t="s">
        <v>1170</v>
      </c>
      <c r="G5" s="6" t="s">
        <v>77</v>
      </c>
      <c r="H5" s="8" t="s">
        <v>69</v>
      </c>
      <c r="I5" s="6" t="s">
        <v>76</v>
      </c>
      <c r="J5" s="8" t="s">
        <v>98</v>
      </c>
      <c r="K5" s="6" t="s">
        <v>99</v>
      </c>
      <c r="L5" s="6" t="s">
        <v>100</v>
      </c>
      <c r="M5" s="6" t="s">
        <v>101</v>
      </c>
      <c r="N5" s="6" t="s">
        <v>84</v>
      </c>
      <c r="O5" s="5" t="s">
        <v>86</v>
      </c>
      <c r="R5" s="123" t="s">
        <v>1190</v>
      </c>
      <c r="S5" s="167" t="s">
        <v>86</v>
      </c>
      <c r="T5" s="168"/>
      <c r="U5" s="6" t="s">
        <v>66</v>
      </c>
      <c r="V5" s="6" t="s">
        <v>77</v>
      </c>
      <c r="W5" s="6" t="s">
        <v>100</v>
      </c>
      <c r="X5" s="6" t="s">
        <v>101</v>
      </c>
      <c r="Y5" s="8" t="s">
        <v>69</v>
      </c>
      <c r="AA5" s="305" t="s">
        <v>1324</v>
      </c>
      <c r="AB5" s="167" t="s">
        <v>86</v>
      </c>
      <c r="AC5" s="168"/>
      <c r="AD5" s="6" t="s">
        <v>66</v>
      </c>
      <c r="AE5" s="6" t="s">
        <v>77</v>
      </c>
      <c r="AF5" s="6" t="s">
        <v>100</v>
      </c>
      <c r="AG5" s="6" t="s">
        <v>97</v>
      </c>
      <c r="AH5" s="8" t="s">
        <v>69</v>
      </c>
      <c r="AK5" s="167" t="s">
        <v>86</v>
      </c>
      <c r="AL5" s="168"/>
      <c r="AM5" s="6" t="s">
        <v>66</v>
      </c>
      <c r="AN5" s="6" t="s">
        <v>77</v>
      </c>
      <c r="AO5" s="6" t="s">
        <v>100</v>
      </c>
      <c r="AP5" s="6" t="s">
        <v>97</v>
      </c>
      <c r="AQ5" s="8" t="s">
        <v>69</v>
      </c>
    </row>
    <row r="6" spans="3:43">
      <c r="C6" s="219"/>
      <c r="D6" s="219"/>
      <c r="G6" s="11" t="s">
        <v>0</v>
      </c>
      <c r="H6" s="11" t="s">
        <v>52</v>
      </c>
      <c r="I6" s="185"/>
      <c r="J6" s="11" t="s">
        <v>52</v>
      </c>
      <c r="K6" s="185"/>
      <c r="L6" s="185"/>
      <c r="M6" s="185"/>
      <c r="N6" s="157" t="s">
        <v>85</v>
      </c>
      <c r="O6" s="157" t="s">
        <v>87</v>
      </c>
      <c r="S6" s="169" t="s">
        <v>1179</v>
      </c>
      <c r="T6" s="170"/>
      <c r="U6" s="15">
        <v>45888</v>
      </c>
      <c r="V6" s="11" t="s">
        <v>11</v>
      </c>
      <c r="W6" s="11">
        <v>332</v>
      </c>
      <c r="X6" s="11" t="s">
        <v>187</v>
      </c>
      <c r="Y6" s="26" t="s">
        <v>12</v>
      </c>
      <c r="AB6" s="169" t="s">
        <v>1179</v>
      </c>
      <c r="AC6" s="170"/>
      <c r="AD6" s="15">
        <v>45888</v>
      </c>
      <c r="AE6" s="11" t="s">
        <v>11</v>
      </c>
      <c r="AF6" s="11">
        <v>332</v>
      </c>
      <c r="AG6" s="11" t="s">
        <v>187</v>
      </c>
      <c r="AH6" s="26" t="s">
        <v>12</v>
      </c>
      <c r="AK6" s="169" t="s">
        <v>1179</v>
      </c>
      <c r="AL6" s="170"/>
      <c r="AM6" s="15">
        <v>45888</v>
      </c>
      <c r="AN6" s="11" t="s">
        <v>11</v>
      </c>
      <c r="AO6" s="11">
        <v>332</v>
      </c>
      <c r="AP6" s="11" t="s">
        <v>187</v>
      </c>
      <c r="AQ6" s="26" t="s">
        <v>12</v>
      </c>
    </row>
    <row r="7" spans="3:43" ht="34.5" customHeight="1">
      <c r="G7" s="7" t="s">
        <v>1</v>
      </c>
      <c r="H7" s="7" t="s">
        <v>88</v>
      </c>
      <c r="I7" s="186"/>
      <c r="J7" s="7" t="s">
        <v>95</v>
      </c>
      <c r="K7" s="186"/>
      <c r="L7" s="186"/>
      <c r="M7" s="186"/>
      <c r="N7" s="158"/>
      <c r="O7" s="158"/>
      <c r="S7" s="171" t="s">
        <v>1232</v>
      </c>
      <c r="T7" s="172"/>
      <c r="U7" s="9" t="s">
        <v>1227</v>
      </c>
      <c r="V7" s="9" t="s">
        <v>68</v>
      </c>
      <c r="W7" s="6" t="s">
        <v>99</v>
      </c>
      <c r="X7" s="24" t="s">
        <v>1231</v>
      </c>
      <c r="Y7" s="133"/>
      <c r="AB7" s="171" t="s">
        <v>89</v>
      </c>
      <c r="AC7" s="172"/>
      <c r="AD7" s="9" t="s">
        <v>67</v>
      </c>
      <c r="AE7" s="9" t="s">
        <v>68</v>
      </c>
      <c r="AF7" s="6" t="s">
        <v>99</v>
      </c>
      <c r="AG7" s="171" t="s">
        <v>84</v>
      </c>
      <c r="AH7" s="172"/>
      <c r="AK7" s="171" t="s">
        <v>89</v>
      </c>
      <c r="AL7" s="172"/>
      <c r="AM7" s="9" t="s">
        <v>67</v>
      </c>
      <c r="AN7" s="9" t="s">
        <v>68</v>
      </c>
      <c r="AO7" s="6" t="s">
        <v>99</v>
      </c>
      <c r="AP7" s="171" t="s">
        <v>84</v>
      </c>
      <c r="AQ7" s="172"/>
    </row>
    <row r="8" spans="3:43">
      <c r="G8" s="7" t="s">
        <v>2</v>
      </c>
      <c r="H8" s="7" t="s">
        <v>53</v>
      </c>
      <c r="I8" s="186"/>
      <c r="J8" s="7" t="s">
        <v>96</v>
      </c>
      <c r="K8" s="186"/>
      <c r="L8" s="186"/>
      <c r="M8" s="186"/>
      <c r="N8" s="158"/>
      <c r="O8" s="158"/>
      <c r="S8" s="169" t="s">
        <v>95</v>
      </c>
      <c r="T8" s="170"/>
      <c r="U8" s="7" t="s">
        <v>1180</v>
      </c>
      <c r="V8" s="7" t="s">
        <v>15</v>
      </c>
      <c r="W8" s="25" t="s">
        <v>124</v>
      </c>
      <c r="X8" s="169" t="s">
        <v>1181</v>
      </c>
      <c r="Y8" s="170"/>
      <c r="AB8" s="169" t="s">
        <v>95</v>
      </c>
      <c r="AC8" s="170"/>
      <c r="AD8" s="7" t="s">
        <v>1180</v>
      </c>
      <c r="AE8" s="7" t="s">
        <v>15</v>
      </c>
      <c r="AF8" s="25" t="s">
        <v>124</v>
      </c>
      <c r="AG8" s="169" t="s">
        <v>1181</v>
      </c>
      <c r="AH8" s="170"/>
      <c r="AK8" s="169" t="s">
        <v>95</v>
      </c>
      <c r="AL8" s="170"/>
      <c r="AM8" s="7" t="s">
        <v>1180</v>
      </c>
      <c r="AN8" s="7" t="s">
        <v>15</v>
      </c>
      <c r="AO8" s="25" t="s">
        <v>124</v>
      </c>
      <c r="AP8" s="169" t="s">
        <v>1181</v>
      </c>
      <c r="AQ8" s="170"/>
    </row>
    <row r="9" spans="3:43">
      <c r="G9" s="7" t="s">
        <v>3</v>
      </c>
      <c r="H9" s="7" t="s">
        <v>54</v>
      </c>
      <c r="I9" s="186"/>
      <c r="J9" s="151"/>
      <c r="K9" s="186"/>
      <c r="L9" s="186"/>
      <c r="M9" s="186"/>
      <c r="N9" s="158"/>
      <c r="O9" s="158"/>
      <c r="S9" s="188" t="s">
        <v>78</v>
      </c>
      <c r="T9" s="189"/>
      <c r="U9" s="10" t="s">
        <v>70</v>
      </c>
      <c r="V9" s="10" t="s">
        <v>71</v>
      </c>
      <c r="W9" s="116" t="s">
        <v>1228</v>
      </c>
      <c r="X9" s="208" t="s">
        <v>1201</v>
      </c>
      <c r="Y9" s="208"/>
      <c r="AB9" s="188" t="s">
        <v>78</v>
      </c>
      <c r="AC9" s="189"/>
      <c r="AD9" s="10" t="s">
        <v>70</v>
      </c>
      <c r="AE9" s="10" t="s">
        <v>71</v>
      </c>
      <c r="AF9" s="116" t="s">
        <v>1206</v>
      </c>
      <c r="AG9" s="10" t="s">
        <v>50</v>
      </c>
      <c r="AH9" s="117"/>
      <c r="AK9" s="188" t="s">
        <v>78</v>
      </c>
      <c r="AL9" s="189"/>
      <c r="AM9" s="10" t="s">
        <v>70</v>
      </c>
      <c r="AN9" s="10" t="s">
        <v>71</v>
      </c>
      <c r="AO9" s="116" t="s">
        <v>1206</v>
      </c>
      <c r="AP9" s="188" t="s">
        <v>50</v>
      </c>
      <c r="AQ9" s="189"/>
    </row>
    <row r="10" spans="3:43">
      <c r="G10" s="7" t="s">
        <v>102</v>
      </c>
      <c r="H10" s="7" t="s">
        <v>55</v>
      </c>
      <c r="I10" s="186"/>
      <c r="J10" s="151"/>
      <c r="K10" s="186"/>
      <c r="L10" s="186"/>
      <c r="M10" s="186"/>
      <c r="N10" s="158"/>
      <c r="O10" s="158"/>
      <c r="S10" s="7" t="s">
        <v>1172</v>
      </c>
      <c r="T10" s="7" t="s">
        <v>1176</v>
      </c>
      <c r="U10" s="7" t="s">
        <v>34</v>
      </c>
      <c r="V10" s="190"/>
      <c r="W10" s="134" t="s">
        <v>1229</v>
      </c>
      <c r="X10" s="220"/>
      <c r="Y10" s="220"/>
      <c r="AB10" s="160" t="s">
        <v>1173</v>
      </c>
      <c r="AC10" s="161"/>
      <c r="AD10" s="7" t="s">
        <v>34</v>
      </c>
      <c r="AE10" s="124" t="s">
        <v>1205</v>
      </c>
      <c r="AF10" s="15">
        <v>45890</v>
      </c>
      <c r="AG10" s="214">
        <v>45890</v>
      </c>
      <c r="AH10" s="215"/>
      <c r="AK10" s="160" t="s">
        <v>1173</v>
      </c>
      <c r="AL10" s="161"/>
      <c r="AM10" s="7" t="s">
        <v>34</v>
      </c>
      <c r="AN10" s="124" t="s">
        <v>1205</v>
      </c>
      <c r="AO10" s="15">
        <v>45890</v>
      </c>
      <c r="AP10" s="214">
        <v>45890</v>
      </c>
      <c r="AQ10" s="215"/>
    </row>
    <row r="11" spans="3:43">
      <c r="G11" s="17"/>
      <c r="H11" s="7" t="s">
        <v>95</v>
      </c>
      <c r="I11" s="186"/>
      <c r="J11" s="151"/>
      <c r="K11" s="186"/>
      <c r="L11" s="186"/>
      <c r="M11" s="186"/>
      <c r="N11" s="158"/>
      <c r="O11" s="158"/>
      <c r="S11" s="7" t="s">
        <v>1173</v>
      </c>
      <c r="T11" s="7" t="s">
        <v>1177</v>
      </c>
      <c r="U11" s="7" t="s">
        <v>35</v>
      </c>
      <c r="V11" s="191"/>
      <c r="W11" s="134" t="s">
        <v>1230</v>
      </c>
      <c r="X11" s="220"/>
      <c r="Y11" s="220"/>
      <c r="AB11" s="173"/>
      <c r="AC11" s="174"/>
      <c r="AD11" s="174"/>
      <c r="AE11" s="174"/>
      <c r="AF11" s="174"/>
      <c r="AG11" s="174"/>
      <c r="AH11" s="175"/>
      <c r="AK11" s="173"/>
      <c r="AL11" s="174"/>
      <c r="AM11" s="174"/>
      <c r="AN11" s="174"/>
      <c r="AO11" s="174"/>
      <c r="AP11" s="174"/>
      <c r="AQ11" s="175"/>
    </row>
    <row r="12" spans="3:43">
      <c r="G12" s="17"/>
      <c r="H12" s="7" t="s">
        <v>56</v>
      </c>
      <c r="I12" s="186"/>
      <c r="J12" s="151"/>
      <c r="K12" s="186"/>
      <c r="L12" s="186"/>
      <c r="M12" s="186"/>
      <c r="N12" s="158"/>
      <c r="O12" s="158"/>
      <c r="S12" s="7" t="s">
        <v>1245</v>
      </c>
      <c r="T12" s="7" t="s">
        <v>1011</v>
      </c>
      <c r="U12" s="150"/>
      <c r="V12" s="191"/>
      <c r="W12" s="191"/>
      <c r="X12" s="220"/>
      <c r="Y12" s="220"/>
      <c r="AB12" s="200" t="s">
        <v>17</v>
      </c>
      <c r="AC12" s="200"/>
      <c r="AD12" s="200"/>
      <c r="AE12" s="21" t="s">
        <v>1198</v>
      </c>
      <c r="AF12" s="19" t="s">
        <v>72</v>
      </c>
      <c r="AG12" s="20" t="s">
        <v>73</v>
      </c>
      <c r="AH12" s="10"/>
      <c r="AK12" s="200" t="s">
        <v>17</v>
      </c>
      <c r="AL12" s="200"/>
      <c r="AM12" s="200"/>
      <c r="AN12" s="21" t="s">
        <v>1198</v>
      </c>
      <c r="AO12" s="19" t="s">
        <v>72</v>
      </c>
      <c r="AP12" s="162" t="s">
        <v>73</v>
      </c>
      <c r="AQ12" s="163"/>
    </row>
    <row r="13" spans="3:43">
      <c r="G13" s="17"/>
      <c r="H13" s="7" t="s">
        <v>57</v>
      </c>
      <c r="I13" s="186"/>
      <c r="J13" s="151"/>
      <c r="K13" s="186"/>
      <c r="L13" s="186"/>
      <c r="M13" s="186"/>
      <c r="N13" s="158"/>
      <c r="O13" s="158"/>
      <c r="S13" s="7" t="s">
        <v>1246</v>
      </c>
      <c r="T13" s="7" t="s">
        <v>1024</v>
      </c>
      <c r="U13" s="151"/>
      <c r="V13" s="191"/>
      <c r="W13" s="191"/>
      <c r="X13" s="220"/>
      <c r="Y13" s="220"/>
      <c r="AB13" s="7" t="s">
        <v>18</v>
      </c>
      <c r="AC13" s="160" t="s">
        <v>1327</v>
      </c>
      <c r="AD13" s="161"/>
      <c r="AE13" s="157" t="s">
        <v>1197</v>
      </c>
      <c r="AF13" s="211"/>
      <c r="AG13" s="179"/>
      <c r="AH13" s="180"/>
      <c r="AK13" s="7" t="s">
        <v>18</v>
      </c>
      <c r="AL13" s="160" t="s">
        <v>1327</v>
      </c>
      <c r="AM13" s="161"/>
      <c r="AN13" s="157" t="s">
        <v>1197</v>
      </c>
      <c r="AO13" s="314" t="s">
        <v>110</v>
      </c>
      <c r="AP13" s="308" t="s">
        <v>110</v>
      </c>
      <c r="AQ13" s="309"/>
    </row>
    <row r="14" spans="3:43">
      <c r="G14" s="17"/>
      <c r="H14" s="7" t="s">
        <v>58</v>
      </c>
      <c r="I14" s="186"/>
      <c r="J14" s="151"/>
      <c r="K14" s="186"/>
      <c r="L14" s="186"/>
      <c r="M14" s="186"/>
      <c r="N14" s="158"/>
      <c r="O14" s="158"/>
      <c r="S14" s="7" t="s">
        <v>1174</v>
      </c>
      <c r="T14" s="7" t="s">
        <v>1178</v>
      </c>
      <c r="U14" s="151"/>
      <c r="V14" s="191"/>
      <c r="W14" s="191"/>
      <c r="X14" s="220"/>
      <c r="Y14" s="220"/>
      <c r="AB14" s="7" t="s">
        <v>19</v>
      </c>
      <c r="AC14" s="160" t="s">
        <v>1328</v>
      </c>
      <c r="AD14" s="161"/>
      <c r="AE14" s="158"/>
      <c r="AF14" s="212"/>
      <c r="AG14" s="181"/>
      <c r="AH14" s="182"/>
      <c r="AK14" s="7" t="s">
        <v>19</v>
      </c>
      <c r="AL14" s="160" t="s">
        <v>1328</v>
      </c>
      <c r="AM14" s="161"/>
      <c r="AN14" s="158"/>
      <c r="AO14" s="315"/>
      <c r="AP14" s="310"/>
      <c r="AQ14" s="311"/>
    </row>
    <row r="15" spans="3:43">
      <c r="G15" s="17"/>
      <c r="H15" s="7" t="s">
        <v>59</v>
      </c>
      <c r="I15" s="186"/>
      <c r="J15" s="151"/>
      <c r="K15" s="186"/>
      <c r="L15" s="186"/>
      <c r="M15" s="186"/>
      <c r="N15" s="158"/>
      <c r="O15" s="158"/>
      <c r="S15" s="7" t="s">
        <v>1175</v>
      </c>
      <c r="T15" s="7"/>
      <c r="U15" s="152"/>
      <c r="V15" s="192"/>
      <c r="W15" s="192"/>
      <c r="X15" s="220"/>
      <c r="Y15" s="220"/>
      <c r="AB15" s="7" t="s">
        <v>20</v>
      </c>
      <c r="AC15" s="160" t="s">
        <v>1329</v>
      </c>
      <c r="AD15" s="161"/>
      <c r="AE15" s="158"/>
      <c r="AF15" s="212"/>
      <c r="AG15" s="181"/>
      <c r="AH15" s="182"/>
      <c r="AK15" s="7" t="s">
        <v>20</v>
      </c>
      <c r="AL15" s="160" t="s">
        <v>1329</v>
      </c>
      <c r="AM15" s="161"/>
      <c r="AN15" s="158"/>
      <c r="AO15" s="315"/>
      <c r="AP15" s="310"/>
      <c r="AQ15" s="311"/>
    </row>
    <row r="16" spans="3:43">
      <c r="G16" s="17"/>
      <c r="H16" s="7" t="s">
        <v>60</v>
      </c>
      <c r="I16" s="186"/>
      <c r="J16" s="151"/>
      <c r="K16" s="186"/>
      <c r="L16" s="186"/>
      <c r="M16" s="186"/>
      <c r="N16" s="158"/>
      <c r="O16" s="158"/>
      <c r="S16" s="173"/>
      <c r="T16" s="174"/>
      <c r="U16" s="174"/>
      <c r="V16" s="174"/>
      <c r="W16" s="174"/>
      <c r="X16" s="174"/>
      <c r="Y16" s="175"/>
      <c r="AB16" s="7" t="s">
        <v>21</v>
      </c>
      <c r="AC16" s="160"/>
      <c r="AD16" s="161"/>
      <c r="AE16" s="158"/>
      <c r="AF16" s="212"/>
      <c r="AG16" s="181"/>
      <c r="AH16" s="182"/>
      <c r="AK16" s="7" t="s">
        <v>21</v>
      </c>
      <c r="AL16" s="160"/>
      <c r="AM16" s="161"/>
      <c r="AN16" s="158"/>
      <c r="AO16" s="315"/>
      <c r="AP16" s="310"/>
      <c r="AQ16" s="311"/>
    </row>
    <row r="17" spans="7:43">
      <c r="G17" s="17"/>
      <c r="H17" s="7" t="s">
        <v>61</v>
      </c>
      <c r="I17" s="186"/>
      <c r="J17" s="151"/>
      <c r="K17" s="186"/>
      <c r="L17" s="186"/>
      <c r="M17" s="186"/>
      <c r="N17" s="158"/>
      <c r="O17" s="158"/>
      <c r="S17" s="188" t="s">
        <v>16</v>
      </c>
      <c r="T17" s="189"/>
      <c r="U17" s="10" t="s">
        <v>40</v>
      </c>
      <c r="V17" s="200" t="s">
        <v>17</v>
      </c>
      <c r="W17" s="200"/>
      <c r="X17" s="200"/>
      <c r="Y17" s="200"/>
      <c r="AB17" s="120" t="s">
        <v>22</v>
      </c>
      <c r="AC17" s="153"/>
      <c r="AD17" s="153"/>
      <c r="AE17" s="159"/>
      <c r="AF17" s="213"/>
      <c r="AG17" s="183"/>
      <c r="AH17" s="184"/>
      <c r="AK17" s="120" t="s">
        <v>22</v>
      </c>
      <c r="AL17" s="153"/>
      <c r="AM17" s="153"/>
      <c r="AN17" s="159"/>
      <c r="AO17" s="316"/>
      <c r="AP17" s="312"/>
      <c r="AQ17" s="313"/>
    </row>
    <row r="18" spans="7:43">
      <c r="G18" s="18"/>
      <c r="H18" s="7" t="s">
        <v>96</v>
      </c>
      <c r="I18" s="187"/>
      <c r="J18" s="152"/>
      <c r="K18" s="187"/>
      <c r="L18" s="187"/>
      <c r="M18" s="187"/>
      <c r="N18" s="159"/>
      <c r="O18" s="159"/>
      <c r="S18" s="199" t="s">
        <v>39</v>
      </c>
      <c r="T18" s="199"/>
      <c r="U18" s="199"/>
      <c r="V18" s="201" t="s">
        <v>18</v>
      </c>
      <c r="W18" s="201"/>
      <c r="X18" s="201"/>
      <c r="Y18" s="201"/>
      <c r="AB18" s="142" t="s">
        <v>1220</v>
      </c>
      <c r="AC18" s="142"/>
      <c r="AD18" s="20" t="s">
        <v>1219</v>
      </c>
      <c r="AE18" s="20" t="s">
        <v>1238</v>
      </c>
      <c r="AF18" s="20" t="s">
        <v>74</v>
      </c>
      <c r="AG18" s="142" t="s">
        <v>75</v>
      </c>
      <c r="AH18" s="142"/>
      <c r="AK18" s="142" t="s">
        <v>1220</v>
      </c>
      <c r="AL18" s="142"/>
      <c r="AM18" s="20" t="s">
        <v>1219</v>
      </c>
      <c r="AN18" s="20" t="s">
        <v>1238</v>
      </c>
      <c r="AO18" s="20" t="s">
        <v>74</v>
      </c>
      <c r="AP18" s="142" t="s">
        <v>75</v>
      </c>
      <c r="AQ18" s="142"/>
    </row>
    <row r="19" spans="7:43" s="121" customFormat="1" ht="27" customHeight="1">
      <c r="G19" s="216" t="s">
        <v>82</v>
      </c>
      <c r="H19" s="217"/>
      <c r="I19" s="217"/>
      <c r="J19" s="217"/>
      <c r="K19" s="217"/>
      <c r="L19" s="217"/>
      <c r="M19" s="217"/>
      <c r="N19" s="217"/>
      <c r="O19" s="218"/>
      <c r="S19" s="199"/>
      <c r="T19" s="199"/>
      <c r="U19" s="199"/>
      <c r="V19" s="137" t="s">
        <v>19</v>
      </c>
      <c r="W19" s="137"/>
      <c r="X19" s="137"/>
      <c r="Y19" s="137"/>
      <c r="AB19" s="137" t="s">
        <v>1185</v>
      </c>
      <c r="AC19" s="137"/>
      <c r="AD19" s="11" t="s">
        <v>1218</v>
      </c>
      <c r="AE19" s="11" t="s">
        <v>51</v>
      </c>
      <c r="AF19" s="11" t="s">
        <v>64</v>
      </c>
      <c r="AG19" s="137" t="s">
        <v>1182</v>
      </c>
      <c r="AH19" s="137"/>
      <c r="AK19" s="137" t="s">
        <v>1185</v>
      </c>
      <c r="AL19" s="137"/>
      <c r="AM19" s="11" t="s">
        <v>1218</v>
      </c>
      <c r="AN19" s="11" t="s">
        <v>51</v>
      </c>
      <c r="AO19" s="11" t="s">
        <v>64</v>
      </c>
      <c r="AP19" s="137" t="s">
        <v>1182</v>
      </c>
      <c r="AQ19" s="137"/>
    </row>
    <row r="20" spans="7:43">
      <c r="G20" s="173" t="s">
        <v>5</v>
      </c>
      <c r="H20" s="174"/>
      <c r="I20" s="174"/>
      <c r="J20" s="174"/>
      <c r="K20" s="174"/>
      <c r="L20" s="174"/>
      <c r="M20" s="174"/>
      <c r="N20" s="174"/>
      <c r="O20" s="175"/>
      <c r="S20" s="199"/>
      <c r="T20" s="199"/>
      <c r="U20" s="199"/>
      <c r="V20" s="201" t="s">
        <v>20</v>
      </c>
      <c r="W20" s="201"/>
      <c r="X20" s="201"/>
      <c r="Y20" s="201"/>
      <c r="AA20" s="135" t="s">
        <v>1235</v>
      </c>
      <c r="AB20" s="149" t="s">
        <v>1223</v>
      </c>
      <c r="AC20" s="149"/>
      <c r="AD20" s="149"/>
      <c r="AE20" s="115" t="s">
        <v>1224</v>
      </c>
      <c r="AF20" s="115" t="s">
        <v>1225</v>
      </c>
      <c r="AG20" s="221" t="s">
        <v>1226</v>
      </c>
      <c r="AH20" s="222"/>
      <c r="AK20" s="149" t="s">
        <v>1223</v>
      </c>
      <c r="AL20" s="149"/>
      <c r="AM20" s="149"/>
      <c r="AN20" s="115" t="s">
        <v>1224</v>
      </c>
      <c r="AO20" s="115" t="s">
        <v>1225</v>
      </c>
      <c r="AP20" s="221" t="s">
        <v>1226</v>
      </c>
      <c r="AQ20" s="222"/>
    </row>
    <row r="21" spans="7:43" ht="15.75">
      <c r="G21" s="176" t="s">
        <v>83</v>
      </c>
      <c r="H21" s="177"/>
      <c r="I21" s="177"/>
      <c r="J21" s="177"/>
      <c r="K21" s="177"/>
      <c r="L21" s="177"/>
      <c r="M21" s="177"/>
      <c r="N21" s="177"/>
      <c r="O21" s="178"/>
      <c r="S21" s="199"/>
      <c r="T21" s="199"/>
      <c r="U21" s="199"/>
      <c r="V21" s="201" t="s">
        <v>21</v>
      </c>
      <c r="W21" s="201"/>
      <c r="X21" s="201"/>
      <c r="Y21" s="201"/>
      <c r="AB21" s="7" t="s">
        <v>1208</v>
      </c>
      <c r="AC21" s="7" t="s">
        <v>1212</v>
      </c>
      <c r="AD21" s="7" t="s">
        <v>1213</v>
      </c>
      <c r="AE21" s="7" t="s">
        <v>1209</v>
      </c>
      <c r="AF21" s="150"/>
      <c r="AG21" s="153"/>
      <c r="AH21" s="153"/>
      <c r="AK21" s="7" t="s">
        <v>1208</v>
      </c>
      <c r="AL21" s="7" t="s">
        <v>1212</v>
      </c>
      <c r="AM21" s="7" t="s">
        <v>1213</v>
      </c>
      <c r="AN21" s="293" t="s">
        <v>1209</v>
      </c>
      <c r="AO21" s="138">
        <v>45891</v>
      </c>
      <c r="AP21" s="306" t="s">
        <v>110</v>
      </c>
      <c r="AQ21" s="307"/>
    </row>
    <row r="22" spans="7:43">
      <c r="G22" s="173" t="s">
        <v>9</v>
      </c>
      <c r="H22" s="174"/>
      <c r="I22" s="174"/>
      <c r="J22" s="174"/>
      <c r="K22" s="174"/>
      <c r="L22" s="174"/>
      <c r="M22" s="174"/>
      <c r="N22" s="174"/>
      <c r="O22" s="175"/>
      <c r="S22" s="199"/>
      <c r="T22" s="199"/>
      <c r="U22" s="199"/>
      <c r="V22" s="201" t="s">
        <v>22</v>
      </c>
      <c r="W22" s="201"/>
      <c r="X22" s="201"/>
      <c r="Y22" s="201"/>
      <c r="AB22" s="7" t="s">
        <v>64</v>
      </c>
      <c r="AC22" s="7" t="s">
        <v>64</v>
      </c>
      <c r="AD22" s="7" t="s">
        <v>64</v>
      </c>
      <c r="AE22" s="7" t="s">
        <v>1210</v>
      </c>
      <c r="AF22" s="151"/>
      <c r="AG22" s="153"/>
      <c r="AH22" s="153"/>
      <c r="AK22" s="7" t="s">
        <v>64</v>
      </c>
      <c r="AL22" s="7" t="s">
        <v>64</v>
      </c>
      <c r="AM22" s="7" t="s">
        <v>64</v>
      </c>
      <c r="AN22" s="294"/>
      <c r="AO22" s="137"/>
      <c r="AP22" s="307"/>
      <c r="AQ22" s="307"/>
    </row>
    <row r="23" spans="7:43">
      <c r="S23" s="162" t="s">
        <v>1198</v>
      </c>
      <c r="T23" s="163"/>
      <c r="U23" s="19" t="s">
        <v>72</v>
      </c>
      <c r="V23" s="20" t="s">
        <v>73</v>
      </c>
      <c r="W23" s="20" t="s">
        <v>74</v>
      </c>
      <c r="X23" s="162" t="s">
        <v>75</v>
      </c>
      <c r="Y23" s="163"/>
      <c r="AB23" s="137" t="s">
        <v>65</v>
      </c>
      <c r="AC23" s="137" t="s">
        <v>65</v>
      </c>
      <c r="AD23" s="137" t="s">
        <v>65</v>
      </c>
      <c r="AE23" s="7" t="s">
        <v>1211</v>
      </c>
      <c r="AF23" s="151"/>
      <c r="AG23" s="153"/>
      <c r="AH23" s="153"/>
    </row>
    <row r="24" spans="7:43">
      <c r="S24" s="223" t="s">
        <v>62</v>
      </c>
      <c r="T24" s="224"/>
      <c r="U24" s="150"/>
      <c r="V24" s="150"/>
      <c r="W24" s="23" t="s">
        <v>64</v>
      </c>
      <c r="X24" s="201" t="s">
        <v>1182</v>
      </c>
      <c r="Y24" s="201"/>
      <c r="AB24" s="137"/>
      <c r="AC24" s="137"/>
      <c r="AD24" s="137"/>
      <c r="AE24" s="7" t="s">
        <v>88</v>
      </c>
      <c r="AF24" s="152"/>
      <c r="AG24" s="153"/>
      <c r="AH24" s="153"/>
    </row>
    <row r="25" spans="7:43">
      <c r="S25" s="223"/>
      <c r="T25" s="224"/>
      <c r="U25" s="151"/>
      <c r="V25" s="151"/>
      <c r="W25" s="23" t="s">
        <v>65</v>
      </c>
      <c r="X25" s="153"/>
      <c r="Y25" s="153"/>
    </row>
    <row r="26" spans="7:43">
      <c r="S26" s="223"/>
      <c r="T26" s="224"/>
      <c r="U26" s="151"/>
      <c r="V26" s="151"/>
      <c r="W26" s="151"/>
      <c r="X26" s="153"/>
      <c r="Y26" s="153"/>
      <c r="AA26" s="135" t="s">
        <v>1236</v>
      </c>
      <c r="AB26" s="149" t="s">
        <v>1233</v>
      </c>
      <c r="AC26" s="149"/>
      <c r="AD26" s="149"/>
      <c r="AE26" s="115" t="s">
        <v>1234</v>
      </c>
      <c r="AF26" s="115" t="s">
        <v>1225</v>
      </c>
      <c r="AG26" s="149" t="s">
        <v>1226</v>
      </c>
      <c r="AH26" s="149"/>
    </row>
    <row r="27" spans="7:43">
      <c r="S27" s="225"/>
      <c r="T27" s="226"/>
      <c r="U27" s="152"/>
      <c r="V27" s="152"/>
      <c r="W27" s="152"/>
      <c r="X27" s="153"/>
      <c r="Y27" s="153"/>
      <c r="AB27" s="7" t="s">
        <v>1208</v>
      </c>
      <c r="AC27" s="153" t="s">
        <v>1213</v>
      </c>
      <c r="AD27" s="153"/>
      <c r="AE27" s="11" t="s">
        <v>52</v>
      </c>
      <c r="AF27" s="153"/>
      <c r="AG27" s="153"/>
      <c r="AH27" s="153"/>
    </row>
    <row r="28" spans="7:43">
      <c r="S28" s="21" t="s">
        <v>1220</v>
      </c>
      <c r="T28" s="22"/>
      <c r="U28" s="20" t="s">
        <v>1219</v>
      </c>
      <c r="V28" s="20" t="s">
        <v>1221</v>
      </c>
      <c r="W28" s="162" t="s">
        <v>1222</v>
      </c>
      <c r="X28" s="166"/>
      <c r="Y28" s="163"/>
      <c r="AB28" s="7" t="s">
        <v>64</v>
      </c>
      <c r="AC28" s="153" t="s">
        <v>64</v>
      </c>
      <c r="AD28" s="153"/>
      <c r="AE28" s="7" t="s">
        <v>95</v>
      </c>
      <c r="AF28" s="153"/>
      <c r="AG28" s="153"/>
      <c r="AH28" s="153"/>
    </row>
    <row r="29" spans="7:43">
      <c r="K29" t="s">
        <v>85</v>
      </c>
      <c r="S29" s="201" t="s">
        <v>1189</v>
      </c>
      <c r="T29" s="201"/>
      <c r="U29" s="153"/>
      <c r="V29" s="153"/>
      <c r="W29" s="201" t="s">
        <v>51</v>
      </c>
      <c r="X29" s="201"/>
      <c r="Y29" s="201"/>
      <c r="AB29" s="26" t="s">
        <v>65</v>
      </c>
      <c r="AC29" s="139" t="s">
        <v>65</v>
      </c>
      <c r="AD29" s="139"/>
      <c r="AE29" s="7" t="s">
        <v>96</v>
      </c>
      <c r="AF29" s="153"/>
      <c r="AG29" s="153"/>
      <c r="AH29" s="153"/>
    </row>
    <row r="30" spans="7:43">
      <c r="S30" s="201" t="s">
        <v>1183</v>
      </c>
      <c r="T30" s="201"/>
      <c r="U30" s="153"/>
      <c r="V30" s="153"/>
      <c r="W30" s="201" t="s">
        <v>63</v>
      </c>
      <c r="X30" s="201"/>
      <c r="Y30" s="201"/>
    </row>
    <row r="31" spans="7:43">
      <c r="S31" s="201" t="s">
        <v>1184</v>
      </c>
      <c r="T31" s="201"/>
      <c r="U31" s="153"/>
      <c r="V31" s="153"/>
      <c r="W31" s="153"/>
      <c r="X31" s="153"/>
      <c r="Y31" s="153"/>
    </row>
    <row r="32" spans="7:43">
      <c r="S32" s="201" t="s">
        <v>1185</v>
      </c>
      <c r="T32" s="201"/>
      <c r="U32" s="153"/>
      <c r="V32" s="153"/>
      <c r="W32" s="153"/>
      <c r="X32" s="153"/>
      <c r="Y32" s="153"/>
    </row>
    <row r="33" spans="19:25">
      <c r="S33" s="201" t="s">
        <v>1186</v>
      </c>
      <c r="T33" s="201"/>
      <c r="U33" s="153"/>
      <c r="V33" s="153"/>
      <c r="W33" s="153"/>
      <c r="X33" s="153"/>
      <c r="Y33" s="153"/>
    </row>
    <row r="34" spans="19:25">
      <c r="S34" s="201" t="s">
        <v>1187</v>
      </c>
      <c r="T34" s="201"/>
      <c r="U34" s="153"/>
      <c r="V34" s="153"/>
      <c r="W34" s="153"/>
      <c r="X34" s="153"/>
      <c r="Y34" s="153"/>
    </row>
    <row r="35" spans="19:25">
      <c r="S35" s="201" t="s">
        <v>1188</v>
      </c>
      <c r="T35" s="201"/>
      <c r="U35" s="153"/>
      <c r="V35" s="153"/>
      <c r="W35" s="153"/>
      <c r="X35" s="153"/>
      <c r="Y35" s="153"/>
    </row>
  </sheetData>
  <mergeCells count="120">
    <mergeCell ref="AN21:AN22"/>
    <mergeCell ref="AO21:AO22"/>
    <mergeCell ref="AP21:AQ22"/>
    <mergeCell ref="AK18:AL18"/>
    <mergeCell ref="AP18:AQ18"/>
    <mergeCell ref="AK19:AL19"/>
    <mergeCell ref="AP19:AQ19"/>
    <mergeCell ref="AK20:AM20"/>
    <mergeCell ref="AP20:AQ20"/>
    <mergeCell ref="AL13:AM13"/>
    <mergeCell ref="AN13:AN17"/>
    <mergeCell ref="AO13:AO17"/>
    <mergeCell ref="AP13:AQ17"/>
    <mergeCell ref="AL14:AM14"/>
    <mergeCell ref="AL15:AM15"/>
    <mergeCell ref="AL16:AM16"/>
    <mergeCell ref="AL17:AM17"/>
    <mergeCell ref="AK9:AL9"/>
    <mergeCell ref="AK10:AL10"/>
    <mergeCell ref="AP10:AQ10"/>
    <mergeCell ref="AK11:AQ11"/>
    <mergeCell ref="AK12:AM12"/>
    <mergeCell ref="AP12:AQ12"/>
    <mergeCell ref="AP9:AQ9"/>
    <mergeCell ref="AK5:AL5"/>
    <mergeCell ref="AK6:AL6"/>
    <mergeCell ref="AK7:AL7"/>
    <mergeCell ref="AP7:AQ7"/>
    <mergeCell ref="AK8:AL8"/>
    <mergeCell ref="AP8:AQ8"/>
    <mergeCell ref="AD23:AD24"/>
    <mergeCell ref="AB26:AD26"/>
    <mergeCell ref="AG26:AH26"/>
    <mergeCell ref="AC27:AD27"/>
    <mergeCell ref="AC28:AD28"/>
    <mergeCell ref="AG20:AH20"/>
    <mergeCell ref="AG21:AH24"/>
    <mergeCell ref="S29:T29"/>
    <mergeCell ref="S30:T30"/>
    <mergeCell ref="X25:Y27"/>
    <mergeCell ref="X23:Y23"/>
    <mergeCell ref="X24:Y24"/>
    <mergeCell ref="S23:T23"/>
    <mergeCell ref="S24:T27"/>
    <mergeCell ref="AF27:AF29"/>
    <mergeCell ref="AG27:AH29"/>
    <mergeCell ref="AC29:AD29"/>
    <mergeCell ref="AB20:AD20"/>
    <mergeCell ref="AF21:AF24"/>
    <mergeCell ref="AB23:AB24"/>
    <mergeCell ref="AC23:AC24"/>
    <mergeCell ref="U24:U27"/>
    <mergeCell ref="V24:V27"/>
    <mergeCell ref="W26:W27"/>
    <mergeCell ref="W28:Y28"/>
    <mergeCell ref="V17:Y17"/>
    <mergeCell ref="S18:U22"/>
    <mergeCell ref="V18:Y18"/>
    <mergeCell ref="V19:Y19"/>
    <mergeCell ref="V20:Y20"/>
    <mergeCell ref="V21:Y21"/>
    <mergeCell ref="W31:Y35"/>
    <mergeCell ref="S32:T32"/>
    <mergeCell ref="S33:T33"/>
    <mergeCell ref="S34:T34"/>
    <mergeCell ref="S35:T35"/>
    <mergeCell ref="U29:U35"/>
    <mergeCell ref="V29:V35"/>
    <mergeCell ref="W29:Y29"/>
    <mergeCell ref="W30:Y30"/>
    <mergeCell ref="S31:T31"/>
    <mergeCell ref="S17:T17"/>
    <mergeCell ref="V22:Y22"/>
    <mergeCell ref="V10:V15"/>
    <mergeCell ref="U12:U15"/>
    <mergeCell ref="S16:Y16"/>
    <mergeCell ref="X9:Y9"/>
    <mergeCell ref="X10:Y15"/>
    <mergeCell ref="W12:W15"/>
    <mergeCell ref="S5:T5"/>
    <mergeCell ref="S6:T6"/>
    <mergeCell ref="S7:T7"/>
    <mergeCell ref="S8:T8"/>
    <mergeCell ref="S9:T9"/>
    <mergeCell ref="X8:Y8"/>
    <mergeCell ref="G19:O19"/>
    <mergeCell ref="G20:O20"/>
    <mergeCell ref="G21:O21"/>
    <mergeCell ref="G22:O22"/>
    <mergeCell ref="C6:D6"/>
    <mergeCell ref="K6:K18"/>
    <mergeCell ref="L6:L18"/>
    <mergeCell ref="O6:O18"/>
    <mergeCell ref="N6:N18"/>
    <mergeCell ref="J9:J18"/>
    <mergeCell ref="I6:I18"/>
    <mergeCell ref="M6:M18"/>
    <mergeCell ref="AB5:AC5"/>
    <mergeCell ref="AB6:AC6"/>
    <mergeCell ref="AB7:AC7"/>
    <mergeCell ref="AB8:AC8"/>
    <mergeCell ref="AB9:AC9"/>
    <mergeCell ref="AG7:AH7"/>
    <mergeCell ref="AG8:AH8"/>
    <mergeCell ref="AB11:AH11"/>
    <mergeCell ref="AC13:AD13"/>
    <mergeCell ref="AC14:AD14"/>
    <mergeCell ref="AB12:AD12"/>
    <mergeCell ref="AB10:AC10"/>
    <mergeCell ref="AG10:AH10"/>
    <mergeCell ref="AB19:AC19"/>
    <mergeCell ref="AG19:AH19"/>
    <mergeCell ref="AC17:AD17"/>
    <mergeCell ref="AE13:AE17"/>
    <mergeCell ref="AF13:AF17"/>
    <mergeCell ref="AG13:AH17"/>
    <mergeCell ref="AB18:AC18"/>
    <mergeCell ref="AG18:AH18"/>
    <mergeCell ref="AC15:AD15"/>
    <mergeCell ref="AC16:AD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B5FA-C39C-4796-856A-3C8FE22366DE}">
  <sheetPr>
    <tabColor rgb="FF00B050"/>
    <pageSetUpPr fitToPage="1"/>
  </sheetPr>
  <dimension ref="A1:R279"/>
  <sheetViews>
    <sheetView showGridLines="0" zoomScale="84" zoomScaleNormal="84" workbookViewId="0">
      <pane xSplit="7" ySplit="6" topLeftCell="H16" activePane="bottomRight" state="frozen"/>
      <selection activeCell="I282" sqref="I282"/>
      <selection pane="topRight" activeCell="I282" sqref="I282"/>
      <selection pane="bottomLeft" activeCell="I282" sqref="I282"/>
      <selection pane="bottomRight" activeCell="F11" sqref="F11"/>
    </sheetView>
  </sheetViews>
  <sheetFormatPr defaultRowHeight="15.75"/>
  <cols>
    <col min="1" max="1" width="8.5703125" style="31" customWidth="1"/>
    <col min="2" max="2" width="5.140625" style="31" customWidth="1"/>
    <col min="3" max="3" width="29.140625" style="31" customWidth="1"/>
    <col min="4" max="4" width="14.85546875" style="98" hidden="1" customWidth="1"/>
    <col min="5" max="5" width="13.5703125" style="31" customWidth="1"/>
    <col min="6" max="6" width="38.5703125" style="31" customWidth="1"/>
    <col min="7" max="7" width="11.28515625" style="31" customWidth="1"/>
    <col min="8" max="8" width="14.85546875" style="61" customWidth="1"/>
    <col min="9" max="9" width="18.42578125" style="99" customWidth="1"/>
    <col min="10" max="10" width="16.5703125" style="31" customWidth="1"/>
    <col min="11" max="11" width="14" style="31" customWidth="1"/>
    <col min="12" max="12" width="15.140625" style="31" hidden="1" customWidth="1"/>
    <col min="13" max="13" width="13.42578125" style="31" hidden="1" customWidth="1"/>
    <col min="14" max="14" width="19.85546875" style="100" customWidth="1"/>
    <col min="15" max="256" width="9.140625" style="31"/>
    <col min="257" max="257" width="8.5703125" style="31" customWidth="1"/>
    <col min="258" max="258" width="5.140625" style="31" customWidth="1"/>
    <col min="259" max="259" width="29.140625" style="31" customWidth="1"/>
    <col min="260" max="260" width="14.85546875" style="31" customWidth="1"/>
    <col min="261" max="261" width="13.5703125" style="31" customWidth="1"/>
    <col min="262" max="262" width="38.5703125" style="31" customWidth="1"/>
    <col min="263" max="263" width="11.28515625" style="31" customWidth="1"/>
    <col min="264" max="264" width="14.85546875" style="31" customWidth="1"/>
    <col min="265" max="265" width="18.42578125" style="31" customWidth="1"/>
    <col min="266" max="266" width="16.5703125" style="31" customWidth="1"/>
    <col min="267" max="267" width="14" style="31" customWidth="1"/>
    <col min="268" max="269" width="0" style="31" hidden="1" customWidth="1"/>
    <col min="270" max="270" width="19.85546875" style="31" customWidth="1"/>
    <col min="271" max="512" width="9.140625" style="31"/>
    <col min="513" max="513" width="8.5703125" style="31" customWidth="1"/>
    <col min="514" max="514" width="5.140625" style="31" customWidth="1"/>
    <col min="515" max="515" width="29.140625" style="31" customWidth="1"/>
    <col min="516" max="516" width="14.85546875" style="31" customWidth="1"/>
    <col min="517" max="517" width="13.5703125" style="31" customWidth="1"/>
    <col min="518" max="518" width="38.5703125" style="31" customWidth="1"/>
    <col min="519" max="519" width="11.28515625" style="31" customWidth="1"/>
    <col min="520" max="520" width="14.85546875" style="31" customWidth="1"/>
    <col min="521" max="521" width="18.42578125" style="31" customWidth="1"/>
    <col min="522" max="522" width="16.5703125" style="31" customWidth="1"/>
    <col min="523" max="523" width="14" style="31" customWidth="1"/>
    <col min="524" max="525" width="0" style="31" hidden="1" customWidth="1"/>
    <col min="526" max="526" width="19.85546875" style="31" customWidth="1"/>
    <col min="527" max="768" width="9.140625" style="31"/>
    <col min="769" max="769" width="8.5703125" style="31" customWidth="1"/>
    <col min="770" max="770" width="5.140625" style="31" customWidth="1"/>
    <col min="771" max="771" width="29.140625" style="31" customWidth="1"/>
    <col min="772" max="772" width="14.85546875" style="31" customWidth="1"/>
    <col min="773" max="773" width="13.5703125" style="31" customWidth="1"/>
    <col min="774" max="774" width="38.5703125" style="31" customWidth="1"/>
    <col min="775" max="775" width="11.28515625" style="31" customWidth="1"/>
    <col min="776" max="776" width="14.85546875" style="31" customWidth="1"/>
    <col min="777" max="777" width="18.42578125" style="31" customWidth="1"/>
    <col min="778" max="778" width="16.5703125" style="31" customWidth="1"/>
    <col min="779" max="779" width="14" style="31" customWidth="1"/>
    <col min="780" max="781" width="0" style="31" hidden="1" customWidth="1"/>
    <col min="782" max="782" width="19.85546875" style="31" customWidth="1"/>
    <col min="783" max="1024" width="9.140625" style="31"/>
    <col min="1025" max="1025" width="8.5703125" style="31" customWidth="1"/>
    <col min="1026" max="1026" width="5.140625" style="31" customWidth="1"/>
    <col min="1027" max="1027" width="29.140625" style="31" customWidth="1"/>
    <col min="1028" max="1028" width="14.85546875" style="31" customWidth="1"/>
    <col min="1029" max="1029" width="13.5703125" style="31" customWidth="1"/>
    <col min="1030" max="1030" width="38.5703125" style="31" customWidth="1"/>
    <col min="1031" max="1031" width="11.28515625" style="31" customWidth="1"/>
    <col min="1032" max="1032" width="14.85546875" style="31" customWidth="1"/>
    <col min="1033" max="1033" width="18.42578125" style="31" customWidth="1"/>
    <col min="1034" max="1034" width="16.5703125" style="31" customWidth="1"/>
    <col min="1035" max="1035" width="14" style="31" customWidth="1"/>
    <col min="1036" max="1037" width="0" style="31" hidden="1" customWidth="1"/>
    <col min="1038" max="1038" width="19.85546875" style="31" customWidth="1"/>
    <col min="1039" max="1280" width="9.140625" style="31"/>
    <col min="1281" max="1281" width="8.5703125" style="31" customWidth="1"/>
    <col min="1282" max="1282" width="5.140625" style="31" customWidth="1"/>
    <col min="1283" max="1283" width="29.140625" style="31" customWidth="1"/>
    <col min="1284" max="1284" width="14.85546875" style="31" customWidth="1"/>
    <col min="1285" max="1285" width="13.5703125" style="31" customWidth="1"/>
    <col min="1286" max="1286" width="38.5703125" style="31" customWidth="1"/>
    <col min="1287" max="1287" width="11.28515625" style="31" customWidth="1"/>
    <col min="1288" max="1288" width="14.85546875" style="31" customWidth="1"/>
    <col min="1289" max="1289" width="18.42578125" style="31" customWidth="1"/>
    <col min="1290" max="1290" width="16.5703125" style="31" customWidth="1"/>
    <col min="1291" max="1291" width="14" style="31" customWidth="1"/>
    <col min="1292" max="1293" width="0" style="31" hidden="1" customWidth="1"/>
    <col min="1294" max="1294" width="19.85546875" style="31" customWidth="1"/>
    <col min="1295" max="1536" width="9.140625" style="31"/>
    <col min="1537" max="1537" width="8.5703125" style="31" customWidth="1"/>
    <col min="1538" max="1538" width="5.140625" style="31" customWidth="1"/>
    <col min="1539" max="1539" width="29.140625" style="31" customWidth="1"/>
    <col min="1540" max="1540" width="14.85546875" style="31" customWidth="1"/>
    <col min="1541" max="1541" width="13.5703125" style="31" customWidth="1"/>
    <col min="1542" max="1542" width="38.5703125" style="31" customWidth="1"/>
    <col min="1543" max="1543" width="11.28515625" style="31" customWidth="1"/>
    <col min="1544" max="1544" width="14.85546875" style="31" customWidth="1"/>
    <col min="1545" max="1545" width="18.42578125" style="31" customWidth="1"/>
    <col min="1546" max="1546" width="16.5703125" style="31" customWidth="1"/>
    <col min="1547" max="1547" width="14" style="31" customWidth="1"/>
    <col min="1548" max="1549" width="0" style="31" hidden="1" customWidth="1"/>
    <col min="1550" max="1550" width="19.85546875" style="31" customWidth="1"/>
    <col min="1551" max="1792" width="9.140625" style="31"/>
    <col min="1793" max="1793" width="8.5703125" style="31" customWidth="1"/>
    <col min="1794" max="1794" width="5.140625" style="31" customWidth="1"/>
    <col min="1795" max="1795" width="29.140625" style="31" customWidth="1"/>
    <col min="1796" max="1796" width="14.85546875" style="31" customWidth="1"/>
    <col min="1797" max="1797" width="13.5703125" style="31" customWidth="1"/>
    <col min="1798" max="1798" width="38.5703125" style="31" customWidth="1"/>
    <col min="1799" max="1799" width="11.28515625" style="31" customWidth="1"/>
    <col min="1800" max="1800" width="14.85546875" style="31" customWidth="1"/>
    <col min="1801" max="1801" width="18.42578125" style="31" customWidth="1"/>
    <col min="1802" max="1802" width="16.5703125" style="31" customWidth="1"/>
    <col min="1803" max="1803" width="14" style="31" customWidth="1"/>
    <col min="1804" max="1805" width="0" style="31" hidden="1" customWidth="1"/>
    <col min="1806" max="1806" width="19.85546875" style="31" customWidth="1"/>
    <col min="1807" max="2048" width="9.140625" style="31"/>
    <col min="2049" max="2049" width="8.5703125" style="31" customWidth="1"/>
    <col min="2050" max="2050" width="5.140625" style="31" customWidth="1"/>
    <col min="2051" max="2051" width="29.140625" style="31" customWidth="1"/>
    <col min="2052" max="2052" width="14.85546875" style="31" customWidth="1"/>
    <col min="2053" max="2053" width="13.5703125" style="31" customWidth="1"/>
    <col min="2054" max="2054" width="38.5703125" style="31" customWidth="1"/>
    <col min="2055" max="2055" width="11.28515625" style="31" customWidth="1"/>
    <col min="2056" max="2056" width="14.85546875" style="31" customWidth="1"/>
    <col min="2057" max="2057" width="18.42578125" style="31" customWidth="1"/>
    <col min="2058" max="2058" width="16.5703125" style="31" customWidth="1"/>
    <col min="2059" max="2059" width="14" style="31" customWidth="1"/>
    <col min="2060" max="2061" width="0" style="31" hidden="1" customWidth="1"/>
    <col min="2062" max="2062" width="19.85546875" style="31" customWidth="1"/>
    <col min="2063" max="2304" width="9.140625" style="31"/>
    <col min="2305" max="2305" width="8.5703125" style="31" customWidth="1"/>
    <col min="2306" max="2306" width="5.140625" style="31" customWidth="1"/>
    <col min="2307" max="2307" width="29.140625" style="31" customWidth="1"/>
    <col min="2308" max="2308" width="14.85546875" style="31" customWidth="1"/>
    <col min="2309" max="2309" width="13.5703125" style="31" customWidth="1"/>
    <col min="2310" max="2310" width="38.5703125" style="31" customWidth="1"/>
    <col min="2311" max="2311" width="11.28515625" style="31" customWidth="1"/>
    <col min="2312" max="2312" width="14.85546875" style="31" customWidth="1"/>
    <col min="2313" max="2313" width="18.42578125" style="31" customWidth="1"/>
    <col min="2314" max="2314" width="16.5703125" style="31" customWidth="1"/>
    <col min="2315" max="2315" width="14" style="31" customWidth="1"/>
    <col min="2316" max="2317" width="0" style="31" hidden="1" customWidth="1"/>
    <col min="2318" max="2318" width="19.85546875" style="31" customWidth="1"/>
    <col min="2319" max="2560" width="9.140625" style="31"/>
    <col min="2561" max="2561" width="8.5703125" style="31" customWidth="1"/>
    <col min="2562" max="2562" width="5.140625" style="31" customWidth="1"/>
    <col min="2563" max="2563" width="29.140625" style="31" customWidth="1"/>
    <col min="2564" max="2564" width="14.85546875" style="31" customWidth="1"/>
    <col min="2565" max="2565" width="13.5703125" style="31" customWidth="1"/>
    <col min="2566" max="2566" width="38.5703125" style="31" customWidth="1"/>
    <col min="2567" max="2567" width="11.28515625" style="31" customWidth="1"/>
    <col min="2568" max="2568" width="14.85546875" style="31" customWidth="1"/>
    <col min="2569" max="2569" width="18.42578125" style="31" customWidth="1"/>
    <col min="2570" max="2570" width="16.5703125" style="31" customWidth="1"/>
    <col min="2571" max="2571" width="14" style="31" customWidth="1"/>
    <col min="2572" max="2573" width="0" style="31" hidden="1" customWidth="1"/>
    <col min="2574" max="2574" width="19.85546875" style="31" customWidth="1"/>
    <col min="2575" max="2816" width="9.140625" style="31"/>
    <col min="2817" max="2817" width="8.5703125" style="31" customWidth="1"/>
    <col min="2818" max="2818" width="5.140625" style="31" customWidth="1"/>
    <col min="2819" max="2819" width="29.140625" style="31" customWidth="1"/>
    <col min="2820" max="2820" width="14.85546875" style="31" customWidth="1"/>
    <col min="2821" max="2821" width="13.5703125" style="31" customWidth="1"/>
    <col min="2822" max="2822" width="38.5703125" style="31" customWidth="1"/>
    <col min="2823" max="2823" width="11.28515625" style="31" customWidth="1"/>
    <col min="2824" max="2824" width="14.85546875" style="31" customWidth="1"/>
    <col min="2825" max="2825" width="18.42578125" style="31" customWidth="1"/>
    <col min="2826" max="2826" width="16.5703125" style="31" customWidth="1"/>
    <col min="2827" max="2827" width="14" style="31" customWidth="1"/>
    <col min="2828" max="2829" width="0" style="31" hidden="1" customWidth="1"/>
    <col min="2830" max="2830" width="19.85546875" style="31" customWidth="1"/>
    <col min="2831" max="3072" width="9.140625" style="31"/>
    <col min="3073" max="3073" width="8.5703125" style="31" customWidth="1"/>
    <col min="3074" max="3074" width="5.140625" style="31" customWidth="1"/>
    <col min="3075" max="3075" width="29.140625" style="31" customWidth="1"/>
    <col min="3076" max="3076" width="14.85546875" style="31" customWidth="1"/>
    <col min="3077" max="3077" width="13.5703125" style="31" customWidth="1"/>
    <col min="3078" max="3078" width="38.5703125" style="31" customWidth="1"/>
    <col min="3079" max="3079" width="11.28515625" style="31" customWidth="1"/>
    <col min="3080" max="3080" width="14.85546875" style="31" customWidth="1"/>
    <col min="3081" max="3081" width="18.42578125" style="31" customWidth="1"/>
    <col min="3082" max="3082" width="16.5703125" style="31" customWidth="1"/>
    <col min="3083" max="3083" width="14" style="31" customWidth="1"/>
    <col min="3084" max="3085" width="0" style="31" hidden="1" customWidth="1"/>
    <col min="3086" max="3086" width="19.85546875" style="31" customWidth="1"/>
    <col min="3087" max="3328" width="9.140625" style="31"/>
    <col min="3329" max="3329" width="8.5703125" style="31" customWidth="1"/>
    <col min="3330" max="3330" width="5.140625" style="31" customWidth="1"/>
    <col min="3331" max="3331" width="29.140625" style="31" customWidth="1"/>
    <col min="3332" max="3332" width="14.85546875" style="31" customWidth="1"/>
    <col min="3333" max="3333" width="13.5703125" style="31" customWidth="1"/>
    <col min="3334" max="3334" width="38.5703125" style="31" customWidth="1"/>
    <col min="3335" max="3335" width="11.28515625" style="31" customWidth="1"/>
    <col min="3336" max="3336" width="14.85546875" style="31" customWidth="1"/>
    <col min="3337" max="3337" width="18.42578125" style="31" customWidth="1"/>
    <col min="3338" max="3338" width="16.5703125" style="31" customWidth="1"/>
    <col min="3339" max="3339" width="14" style="31" customWidth="1"/>
    <col min="3340" max="3341" width="0" style="31" hidden="1" customWidth="1"/>
    <col min="3342" max="3342" width="19.85546875" style="31" customWidth="1"/>
    <col min="3343" max="3584" width="9.140625" style="31"/>
    <col min="3585" max="3585" width="8.5703125" style="31" customWidth="1"/>
    <col min="3586" max="3586" width="5.140625" style="31" customWidth="1"/>
    <col min="3587" max="3587" width="29.140625" style="31" customWidth="1"/>
    <col min="3588" max="3588" width="14.85546875" style="31" customWidth="1"/>
    <col min="3589" max="3589" width="13.5703125" style="31" customWidth="1"/>
    <col min="3590" max="3590" width="38.5703125" style="31" customWidth="1"/>
    <col min="3591" max="3591" width="11.28515625" style="31" customWidth="1"/>
    <col min="3592" max="3592" width="14.85546875" style="31" customWidth="1"/>
    <col min="3593" max="3593" width="18.42578125" style="31" customWidth="1"/>
    <col min="3594" max="3594" width="16.5703125" style="31" customWidth="1"/>
    <col min="3595" max="3595" width="14" style="31" customWidth="1"/>
    <col min="3596" max="3597" width="0" style="31" hidden="1" customWidth="1"/>
    <col min="3598" max="3598" width="19.85546875" style="31" customWidth="1"/>
    <col min="3599" max="3840" width="9.140625" style="31"/>
    <col min="3841" max="3841" width="8.5703125" style="31" customWidth="1"/>
    <col min="3842" max="3842" width="5.140625" style="31" customWidth="1"/>
    <col min="3843" max="3843" width="29.140625" style="31" customWidth="1"/>
    <col min="3844" max="3844" width="14.85546875" style="31" customWidth="1"/>
    <col min="3845" max="3845" width="13.5703125" style="31" customWidth="1"/>
    <col min="3846" max="3846" width="38.5703125" style="31" customWidth="1"/>
    <col min="3847" max="3847" width="11.28515625" style="31" customWidth="1"/>
    <col min="3848" max="3848" width="14.85546875" style="31" customWidth="1"/>
    <col min="3849" max="3849" width="18.42578125" style="31" customWidth="1"/>
    <col min="3850" max="3850" width="16.5703125" style="31" customWidth="1"/>
    <col min="3851" max="3851" width="14" style="31" customWidth="1"/>
    <col min="3852" max="3853" width="0" style="31" hidden="1" customWidth="1"/>
    <col min="3854" max="3854" width="19.85546875" style="31" customWidth="1"/>
    <col min="3855" max="4096" width="9.140625" style="31"/>
    <col min="4097" max="4097" width="8.5703125" style="31" customWidth="1"/>
    <col min="4098" max="4098" width="5.140625" style="31" customWidth="1"/>
    <col min="4099" max="4099" width="29.140625" style="31" customWidth="1"/>
    <col min="4100" max="4100" width="14.85546875" style="31" customWidth="1"/>
    <col min="4101" max="4101" width="13.5703125" style="31" customWidth="1"/>
    <col min="4102" max="4102" width="38.5703125" style="31" customWidth="1"/>
    <col min="4103" max="4103" width="11.28515625" style="31" customWidth="1"/>
    <col min="4104" max="4104" width="14.85546875" style="31" customWidth="1"/>
    <col min="4105" max="4105" width="18.42578125" style="31" customWidth="1"/>
    <col min="4106" max="4106" width="16.5703125" style="31" customWidth="1"/>
    <col min="4107" max="4107" width="14" style="31" customWidth="1"/>
    <col min="4108" max="4109" width="0" style="31" hidden="1" customWidth="1"/>
    <col min="4110" max="4110" width="19.85546875" style="31" customWidth="1"/>
    <col min="4111" max="4352" width="9.140625" style="31"/>
    <col min="4353" max="4353" width="8.5703125" style="31" customWidth="1"/>
    <col min="4354" max="4354" width="5.140625" style="31" customWidth="1"/>
    <col min="4355" max="4355" width="29.140625" style="31" customWidth="1"/>
    <col min="4356" max="4356" width="14.85546875" style="31" customWidth="1"/>
    <col min="4357" max="4357" width="13.5703125" style="31" customWidth="1"/>
    <col min="4358" max="4358" width="38.5703125" style="31" customWidth="1"/>
    <col min="4359" max="4359" width="11.28515625" style="31" customWidth="1"/>
    <col min="4360" max="4360" width="14.85546875" style="31" customWidth="1"/>
    <col min="4361" max="4361" width="18.42578125" style="31" customWidth="1"/>
    <col min="4362" max="4362" width="16.5703125" style="31" customWidth="1"/>
    <col min="4363" max="4363" width="14" style="31" customWidth="1"/>
    <col min="4364" max="4365" width="0" style="31" hidden="1" customWidth="1"/>
    <col min="4366" max="4366" width="19.85546875" style="31" customWidth="1"/>
    <col min="4367" max="4608" width="9.140625" style="31"/>
    <col min="4609" max="4609" width="8.5703125" style="31" customWidth="1"/>
    <col min="4610" max="4610" width="5.140625" style="31" customWidth="1"/>
    <col min="4611" max="4611" width="29.140625" style="31" customWidth="1"/>
    <col min="4612" max="4612" width="14.85546875" style="31" customWidth="1"/>
    <col min="4613" max="4613" width="13.5703125" style="31" customWidth="1"/>
    <col min="4614" max="4614" width="38.5703125" style="31" customWidth="1"/>
    <col min="4615" max="4615" width="11.28515625" style="31" customWidth="1"/>
    <col min="4616" max="4616" width="14.85546875" style="31" customWidth="1"/>
    <col min="4617" max="4617" width="18.42578125" style="31" customWidth="1"/>
    <col min="4618" max="4618" width="16.5703125" style="31" customWidth="1"/>
    <col min="4619" max="4619" width="14" style="31" customWidth="1"/>
    <col min="4620" max="4621" width="0" style="31" hidden="1" customWidth="1"/>
    <col min="4622" max="4622" width="19.85546875" style="31" customWidth="1"/>
    <col min="4623" max="4864" width="9.140625" style="31"/>
    <col min="4865" max="4865" width="8.5703125" style="31" customWidth="1"/>
    <col min="4866" max="4866" width="5.140625" style="31" customWidth="1"/>
    <col min="4867" max="4867" width="29.140625" style="31" customWidth="1"/>
    <col min="4868" max="4868" width="14.85546875" style="31" customWidth="1"/>
    <col min="4869" max="4869" width="13.5703125" style="31" customWidth="1"/>
    <col min="4870" max="4870" width="38.5703125" style="31" customWidth="1"/>
    <col min="4871" max="4871" width="11.28515625" style="31" customWidth="1"/>
    <col min="4872" max="4872" width="14.85546875" style="31" customWidth="1"/>
    <col min="4873" max="4873" width="18.42578125" style="31" customWidth="1"/>
    <col min="4874" max="4874" width="16.5703125" style="31" customWidth="1"/>
    <col min="4875" max="4875" width="14" style="31" customWidth="1"/>
    <col min="4876" max="4877" width="0" style="31" hidden="1" customWidth="1"/>
    <col min="4878" max="4878" width="19.85546875" style="31" customWidth="1"/>
    <col min="4879" max="5120" width="9.140625" style="31"/>
    <col min="5121" max="5121" width="8.5703125" style="31" customWidth="1"/>
    <col min="5122" max="5122" width="5.140625" style="31" customWidth="1"/>
    <col min="5123" max="5123" width="29.140625" style="31" customWidth="1"/>
    <col min="5124" max="5124" width="14.85546875" style="31" customWidth="1"/>
    <col min="5125" max="5125" width="13.5703125" style="31" customWidth="1"/>
    <col min="5126" max="5126" width="38.5703125" style="31" customWidth="1"/>
    <col min="5127" max="5127" width="11.28515625" style="31" customWidth="1"/>
    <col min="5128" max="5128" width="14.85546875" style="31" customWidth="1"/>
    <col min="5129" max="5129" width="18.42578125" style="31" customWidth="1"/>
    <col min="5130" max="5130" width="16.5703125" style="31" customWidth="1"/>
    <col min="5131" max="5131" width="14" style="31" customWidth="1"/>
    <col min="5132" max="5133" width="0" style="31" hidden="1" customWidth="1"/>
    <col min="5134" max="5134" width="19.85546875" style="31" customWidth="1"/>
    <col min="5135" max="5376" width="9.140625" style="31"/>
    <col min="5377" max="5377" width="8.5703125" style="31" customWidth="1"/>
    <col min="5378" max="5378" width="5.140625" style="31" customWidth="1"/>
    <col min="5379" max="5379" width="29.140625" style="31" customWidth="1"/>
    <col min="5380" max="5380" width="14.85546875" style="31" customWidth="1"/>
    <col min="5381" max="5381" width="13.5703125" style="31" customWidth="1"/>
    <col min="5382" max="5382" width="38.5703125" style="31" customWidth="1"/>
    <col min="5383" max="5383" width="11.28515625" style="31" customWidth="1"/>
    <col min="5384" max="5384" width="14.85546875" style="31" customWidth="1"/>
    <col min="5385" max="5385" width="18.42578125" style="31" customWidth="1"/>
    <col min="5386" max="5386" width="16.5703125" style="31" customWidth="1"/>
    <col min="5387" max="5387" width="14" style="31" customWidth="1"/>
    <col min="5388" max="5389" width="0" style="31" hidden="1" customWidth="1"/>
    <col min="5390" max="5390" width="19.85546875" style="31" customWidth="1"/>
    <col min="5391" max="5632" width="9.140625" style="31"/>
    <col min="5633" max="5633" width="8.5703125" style="31" customWidth="1"/>
    <col min="5634" max="5634" width="5.140625" style="31" customWidth="1"/>
    <col min="5635" max="5635" width="29.140625" style="31" customWidth="1"/>
    <col min="5636" max="5636" width="14.85546875" style="31" customWidth="1"/>
    <col min="5637" max="5637" width="13.5703125" style="31" customWidth="1"/>
    <col min="5638" max="5638" width="38.5703125" style="31" customWidth="1"/>
    <col min="5639" max="5639" width="11.28515625" style="31" customWidth="1"/>
    <col min="5640" max="5640" width="14.85546875" style="31" customWidth="1"/>
    <col min="5641" max="5641" width="18.42578125" style="31" customWidth="1"/>
    <col min="5642" max="5642" width="16.5703125" style="31" customWidth="1"/>
    <col min="5643" max="5643" width="14" style="31" customWidth="1"/>
    <col min="5644" max="5645" width="0" style="31" hidden="1" customWidth="1"/>
    <col min="5646" max="5646" width="19.85546875" style="31" customWidth="1"/>
    <col min="5647" max="5888" width="9.140625" style="31"/>
    <col min="5889" max="5889" width="8.5703125" style="31" customWidth="1"/>
    <col min="5890" max="5890" width="5.140625" style="31" customWidth="1"/>
    <col min="5891" max="5891" width="29.140625" style="31" customWidth="1"/>
    <col min="5892" max="5892" width="14.85546875" style="31" customWidth="1"/>
    <col min="5893" max="5893" width="13.5703125" style="31" customWidth="1"/>
    <col min="5894" max="5894" width="38.5703125" style="31" customWidth="1"/>
    <col min="5895" max="5895" width="11.28515625" style="31" customWidth="1"/>
    <col min="5896" max="5896" width="14.85546875" style="31" customWidth="1"/>
    <col min="5897" max="5897" width="18.42578125" style="31" customWidth="1"/>
    <col min="5898" max="5898" width="16.5703125" style="31" customWidth="1"/>
    <col min="5899" max="5899" width="14" style="31" customWidth="1"/>
    <col min="5900" max="5901" width="0" style="31" hidden="1" customWidth="1"/>
    <col min="5902" max="5902" width="19.85546875" style="31" customWidth="1"/>
    <col min="5903" max="6144" width="9.140625" style="31"/>
    <col min="6145" max="6145" width="8.5703125" style="31" customWidth="1"/>
    <col min="6146" max="6146" width="5.140625" style="31" customWidth="1"/>
    <col min="6147" max="6147" width="29.140625" style="31" customWidth="1"/>
    <col min="6148" max="6148" width="14.85546875" style="31" customWidth="1"/>
    <col min="6149" max="6149" width="13.5703125" style="31" customWidth="1"/>
    <col min="6150" max="6150" width="38.5703125" style="31" customWidth="1"/>
    <col min="6151" max="6151" width="11.28515625" style="31" customWidth="1"/>
    <col min="6152" max="6152" width="14.85546875" style="31" customWidth="1"/>
    <col min="6153" max="6153" width="18.42578125" style="31" customWidth="1"/>
    <col min="6154" max="6154" width="16.5703125" style="31" customWidth="1"/>
    <col min="6155" max="6155" width="14" style="31" customWidth="1"/>
    <col min="6156" max="6157" width="0" style="31" hidden="1" customWidth="1"/>
    <col min="6158" max="6158" width="19.85546875" style="31" customWidth="1"/>
    <col min="6159" max="6400" width="9.140625" style="31"/>
    <col min="6401" max="6401" width="8.5703125" style="31" customWidth="1"/>
    <col min="6402" max="6402" width="5.140625" style="31" customWidth="1"/>
    <col min="6403" max="6403" width="29.140625" style="31" customWidth="1"/>
    <col min="6404" max="6404" width="14.85546875" style="31" customWidth="1"/>
    <col min="6405" max="6405" width="13.5703125" style="31" customWidth="1"/>
    <col min="6406" max="6406" width="38.5703125" style="31" customWidth="1"/>
    <col min="6407" max="6407" width="11.28515625" style="31" customWidth="1"/>
    <col min="6408" max="6408" width="14.85546875" style="31" customWidth="1"/>
    <col min="6409" max="6409" width="18.42578125" style="31" customWidth="1"/>
    <col min="6410" max="6410" width="16.5703125" style="31" customWidth="1"/>
    <col min="6411" max="6411" width="14" style="31" customWidth="1"/>
    <col min="6412" max="6413" width="0" style="31" hidden="1" customWidth="1"/>
    <col min="6414" max="6414" width="19.85546875" style="31" customWidth="1"/>
    <col min="6415" max="6656" width="9.140625" style="31"/>
    <col min="6657" max="6657" width="8.5703125" style="31" customWidth="1"/>
    <col min="6658" max="6658" width="5.140625" style="31" customWidth="1"/>
    <col min="6659" max="6659" width="29.140625" style="31" customWidth="1"/>
    <col min="6660" max="6660" width="14.85546875" style="31" customWidth="1"/>
    <col min="6661" max="6661" width="13.5703125" style="31" customWidth="1"/>
    <col min="6662" max="6662" width="38.5703125" style="31" customWidth="1"/>
    <col min="6663" max="6663" width="11.28515625" style="31" customWidth="1"/>
    <col min="6664" max="6664" width="14.85546875" style="31" customWidth="1"/>
    <col min="6665" max="6665" width="18.42578125" style="31" customWidth="1"/>
    <col min="6666" max="6666" width="16.5703125" style="31" customWidth="1"/>
    <col min="6667" max="6667" width="14" style="31" customWidth="1"/>
    <col min="6668" max="6669" width="0" style="31" hidden="1" customWidth="1"/>
    <col min="6670" max="6670" width="19.85546875" style="31" customWidth="1"/>
    <col min="6671" max="6912" width="9.140625" style="31"/>
    <col min="6913" max="6913" width="8.5703125" style="31" customWidth="1"/>
    <col min="6914" max="6914" width="5.140625" style="31" customWidth="1"/>
    <col min="6915" max="6915" width="29.140625" style="31" customWidth="1"/>
    <col min="6916" max="6916" width="14.85546875" style="31" customWidth="1"/>
    <col min="6917" max="6917" width="13.5703125" style="31" customWidth="1"/>
    <col min="6918" max="6918" width="38.5703125" style="31" customWidth="1"/>
    <col min="6919" max="6919" width="11.28515625" style="31" customWidth="1"/>
    <col min="6920" max="6920" width="14.85546875" style="31" customWidth="1"/>
    <col min="6921" max="6921" width="18.42578125" style="31" customWidth="1"/>
    <col min="6922" max="6922" width="16.5703125" style="31" customWidth="1"/>
    <col min="6923" max="6923" width="14" style="31" customWidth="1"/>
    <col min="6924" max="6925" width="0" style="31" hidden="1" customWidth="1"/>
    <col min="6926" max="6926" width="19.85546875" style="31" customWidth="1"/>
    <col min="6927" max="7168" width="9.140625" style="31"/>
    <col min="7169" max="7169" width="8.5703125" style="31" customWidth="1"/>
    <col min="7170" max="7170" width="5.140625" style="31" customWidth="1"/>
    <col min="7171" max="7171" width="29.140625" style="31" customWidth="1"/>
    <col min="7172" max="7172" width="14.85546875" style="31" customWidth="1"/>
    <col min="7173" max="7173" width="13.5703125" style="31" customWidth="1"/>
    <col min="7174" max="7174" width="38.5703125" style="31" customWidth="1"/>
    <col min="7175" max="7175" width="11.28515625" style="31" customWidth="1"/>
    <col min="7176" max="7176" width="14.85546875" style="31" customWidth="1"/>
    <col min="7177" max="7177" width="18.42578125" style="31" customWidth="1"/>
    <col min="7178" max="7178" width="16.5703125" style="31" customWidth="1"/>
    <col min="7179" max="7179" width="14" style="31" customWidth="1"/>
    <col min="7180" max="7181" width="0" style="31" hidden="1" customWidth="1"/>
    <col min="7182" max="7182" width="19.85546875" style="31" customWidth="1"/>
    <col min="7183" max="7424" width="9.140625" style="31"/>
    <col min="7425" max="7425" width="8.5703125" style="31" customWidth="1"/>
    <col min="7426" max="7426" width="5.140625" style="31" customWidth="1"/>
    <col min="7427" max="7427" width="29.140625" style="31" customWidth="1"/>
    <col min="7428" max="7428" width="14.85546875" style="31" customWidth="1"/>
    <col min="7429" max="7429" width="13.5703125" style="31" customWidth="1"/>
    <col min="7430" max="7430" width="38.5703125" style="31" customWidth="1"/>
    <col min="7431" max="7431" width="11.28515625" style="31" customWidth="1"/>
    <col min="7432" max="7432" width="14.85546875" style="31" customWidth="1"/>
    <col min="7433" max="7433" width="18.42578125" style="31" customWidth="1"/>
    <col min="7434" max="7434" width="16.5703125" style="31" customWidth="1"/>
    <col min="7435" max="7435" width="14" style="31" customWidth="1"/>
    <col min="7436" max="7437" width="0" style="31" hidden="1" customWidth="1"/>
    <col min="7438" max="7438" width="19.85546875" style="31" customWidth="1"/>
    <col min="7439" max="7680" width="9.140625" style="31"/>
    <col min="7681" max="7681" width="8.5703125" style="31" customWidth="1"/>
    <col min="7682" max="7682" width="5.140625" style="31" customWidth="1"/>
    <col min="7683" max="7683" width="29.140625" style="31" customWidth="1"/>
    <col min="7684" max="7684" width="14.85546875" style="31" customWidth="1"/>
    <col min="7685" max="7685" width="13.5703125" style="31" customWidth="1"/>
    <col min="7686" max="7686" width="38.5703125" style="31" customWidth="1"/>
    <col min="7687" max="7687" width="11.28515625" style="31" customWidth="1"/>
    <col min="7688" max="7688" width="14.85546875" style="31" customWidth="1"/>
    <col min="7689" max="7689" width="18.42578125" style="31" customWidth="1"/>
    <col min="7690" max="7690" width="16.5703125" style="31" customWidth="1"/>
    <col min="7691" max="7691" width="14" style="31" customWidth="1"/>
    <col min="7692" max="7693" width="0" style="31" hidden="1" customWidth="1"/>
    <col min="7694" max="7694" width="19.85546875" style="31" customWidth="1"/>
    <col min="7695" max="7936" width="9.140625" style="31"/>
    <col min="7937" max="7937" width="8.5703125" style="31" customWidth="1"/>
    <col min="7938" max="7938" width="5.140625" style="31" customWidth="1"/>
    <col min="7939" max="7939" width="29.140625" style="31" customWidth="1"/>
    <col min="7940" max="7940" width="14.85546875" style="31" customWidth="1"/>
    <col min="7941" max="7941" width="13.5703125" style="31" customWidth="1"/>
    <col min="7942" max="7942" width="38.5703125" style="31" customWidth="1"/>
    <col min="7943" max="7943" width="11.28515625" style="31" customWidth="1"/>
    <col min="7944" max="7944" width="14.85546875" style="31" customWidth="1"/>
    <col min="7945" max="7945" width="18.42578125" style="31" customWidth="1"/>
    <col min="7946" max="7946" width="16.5703125" style="31" customWidth="1"/>
    <col min="7947" max="7947" width="14" style="31" customWidth="1"/>
    <col min="7948" max="7949" width="0" style="31" hidden="1" customWidth="1"/>
    <col min="7950" max="7950" width="19.85546875" style="31" customWidth="1"/>
    <col min="7951" max="8192" width="9.140625" style="31"/>
    <col min="8193" max="8193" width="8.5703125" style="31" customWidth="1"/>
    <col min="8194" max="8194" width="5.140625" style="31" customWidth="1"/>
    <col min="8195" max="8195" width="29.140625" style="31" customWidth="1"/>
    <col min="8196" max="8196" width="14.85546875" style="31" customWidth="1"/>
    <col min="8197" max="8197" width="13.5703125" style="31" customWidth="1"/>
    <col min="8198" max="8198" width="38.5703125" style="31" customWidth="1"/>
    <col min="8199" max="8199" width="11.28515625" style="31" customWidth="1"/>
    <col min="8200" max="8200" width="14.85546875" style="31" customWidth="1"/>
    <col min="8201" max="8201" width="18.42578125" style="31" customWidth="1"/>
    <col min="8202" max="8202" width="16.5703125" style="31" customWidth="1"/>
    <col min="8203" max="8203" width="14" style="31" customWidth="1"/>
    <col min="8204" max="8205" width="0" style="31" hidden="1" customWidth="1"/>
    <col min="8206" max="8206" width="19.85546875" style="31" customWidth="1"/>
    <col min="8207" max="8448" width="9.140625" style="31"/>
    <col min="8449" max="8449" width="8.5703125" style="31" customWidth="1"/>
    <col min="8450" max="8450" width="5.140625" style="31" customWidth="1"/>
    <col min="8451" max="8451" width="29.140625" style="31" customWidth="1"/>
    <col min="8452" max="8452" width="14.85546875" style="31" customWidth="1"/>
    <col min="8453" max="8453" width="13.5703125" style="31" customWidth="1"/>
    <col min="8454" max="8454" width="38.5703125" style="31" customWidth="1"/>
    <col min="8455" max="8455" width="11.28515625" style="31" customWidth="1"/>
    <col min="8456" max="8456" width="14.85546875" style="31" customWidth="1"/>
    <col min="8457" max="8457" width="18.42578125" style="31" customWidth="1"/>
    <col min="8458" max="8458" width="16.5703125" style="31" customWidth="1"/>
    <col min="8459" max="8459" width="14" style="31" customWidth="1"/>
    <col min="8460" max="8461" width="0" style="31" hidden="1" customWidth="1"/>
    <col min="8462" max="8462" width="19.85546875" style="31" customWidth="1"/>
    <col min="8463" max="8704" width="9.140625" style="31"/>
    <col min="8705" max="8705" width="8.5703125" style="31" customWidth="1"/>
    <col min="8706" max="8706" width="5.140625" style="31" customWidth="1"/>
    <col min="8707" max="8707" width="29.140625" style="31" customWidth="1"/>
    <col min="8708" max="8708" width="14.85546875" style="31" customWidth="1"/>
    <col min="8709" max="8709" width="13.5703125" style="31" customWidth="1"/>
    <col min="8710" max="8710" width="38.5703125" style="31" customWidth="1"/>
    <col min="8711" max="8711" width="11.28515625" style="31" customWidth="1"/>
    <col min="8712" max="8712" width="14.85546875" style="31" customWidth="1"/>
    <col min="8713" max="8713" width="18.42578125" style="31" customWidth="1"/>
    <col min="8714" max="8714" width="16.5703125" style="31" customWidth="1"/>
    <col min="8715" max="8715" width="14" style="31" customWidth="1"/>
    <col min="8716" max="8717" width="0" style="31" hidden="1" customWidth="1"/>
    <col min="8718" max="8718" width="19.85546875" style="31" customWidth="1"/>
    <col min="8719" max="8960" width="9.140625" style="31"/>
    <col min="8961" max="8961" width="8.5703125" style="31" customWidth="1"/>
    <col min="8962" max="8962" width="5.140625" style="31" customWidth="1"/>
    <col min="8963" max="8963" width="29.140625" style="31" customWidth="1"/>
    <col min="8964" max="8964" width="14.85546875" style="31" customWidth="1"/>
    <col min="8965" max="8965" width="13.5703125" style="31" customWidth="1"/>
    <col min="8966" max="8966" width="38.5703125" style="31" customWidth="1"/>
    <col min="8967" max="8967" width="11.28515625" style="31" customWidth="1"/>
    <col min="8968" max="8968" width="14.85546875" style="31" customWidth="1"/>
    <col min="8969" max="8969" width="18.42578125" style="31" customWidth="1"/>
    <col min="8970" max="8970" width="16.5703125" style="31" customWidth="1"/>
    <col min="8971" max="8971" width="14" style="31" customWidth="1"/>
    <col min="8972" max="8973" width="0" style="31" hidden="1" customWidth="1"/>
    <col min="8974" max="8974" width="19.85546875" style="31" customWidth="1"/>
    <col min="8975" max="9216" width="9.140625" style="31"/>
    <col min="9217" max="9217" width="8.5703125" style="31" customWidth="1"/>
    <col min="9218" max="9218" width="5.140625" style="31" customWidth="1"/>
    <col min="9219" max="9219" width="29.140625" style="31" customWidth="1"/>
    <col min="9220" max="9220" width="14.85546875" style="31" customWidth="1"/>
    <col min="9221" max="9221" width="13.5703125" style="31" customWidth="1"/>
    <col min="9222" max="9222" width="38.5703125" style="31" customWidth="1"/>
    <col min="9223" max="9223" width="11.28515625" style="31" customWidth="1"/>
    <col min="9224" max="9224" width="14.85546875" style="31" customWidth="1"/>
    <col min="9225" max="9225" width="18.42578125" style="31" customWidth="1"/>
    <col min="9226" max="9226" width="16.5703125" style="31" customWidth="1"/>
    <col min="9227" max="9227" width="14" style="31" customWidth="1"/>
    <col min="9228" max="9229" width="0" style="31" hidden="1" customWidth="1"/>
    <col min="9230" max="9230" width="19.85546875" style="31" customWidth="1"/>
    <col min="9231" max="9472" width="9.140625" style="31"/>
    <col min="9473" max="9473" width="8.5703125" style="31" customWidth="1"/>
    <col min="9474" max="9474" width="5.140625" style="31" customWidth="1"/>
    <col min="9475" max="9475" width="29.140625" style="31" customWidth="1"/>
    <col min="9476" max="9476" width="14.85546875" style="31" customWidth="1"/>
    <col min="9477" max="9477" width="13.5703125" style="31" customWidth="1"/>
    <col min="9478" max="9478" width="38.5703125" style="31" customWidth="1"/>
    <col min="9479" max="9479" width="11.28515625" style="31" customWidth="1"/>
    <col min="9480" max="9480" width="14.85546875" style="31" customWidth="1"/>
    <col min="9481" max="9481" width="18.42578125" style="31" customWidth="1"/>
    <col min="9482" max="9482" width="16.5703125" style="31" customWidth="1"/>
    <col min="9483" max="9483" width="14" style="31" customWidth="1"/>
    <col min="9484" max="9485" width="0" style="31" hidden="1" customWidth="1"/>
    <col min="9486" max="9486" width="19.85546875" style="31" customWidth="1"/>
    <col min="9487" max="9728" width="9.140625" style="31"/>
    <col min="9729" max="9729" width="8.5703125" style="31" customWidth="1"/>
    <col min="9730" max="9730" width="5.140625" style="31" customWidth="1"/>
    <col min="9731" max="9731" width="29.140625" style="31" customWidth="1"/>
    <col min="9732" max="9732" width="14.85546875" style="31" customWidth="1"/>
    <col min="9733" max="9733" width="13.5703125" style="31" customWidth="1"/>
    <col min="9734" max="9734" width="38.5703125" style="31" customWidth="1"/>
    <col min="9735" max="9735" width="11.28515625" style="31" customWidth="1"/>
    <col min="9736" max="9736" width="14.85546875" style="31" customWidth="1"/>
    <col min="9737" max="9737" width="18.42578125" style="31" customWidth="1"/>
    <col min="9738" max="9738" width="16.5703125" style="31" customWidth="1"/>
    <col min="9739" max="9739" width="14" style="31" customWidth="1"/>
    <col min="9740" max="9741" width="0" style="31" hidden="1" customWidth="1"/>
    <col min="9742" max="9742" width="19.85546875" style="31" customWidth="1"/>
    <col min="9743" max="9984" width="9.140625" style="31"/>
    <col min="9985" max="9985" width="8.5703125" style="31" customWidth="1"/>
    <col min="9986" max="9986" width="5.140625" style="31" customWidth="1"/>
    <col min="9987" max="9987" width="29.140625" style="31" customWidth="1"/>
    <col min="9988" max="9988" width="14.85546875" style="31" customWidth="1"/>
    <col min="9989" max="9989" width="13.5703125" style="31" customWidth="1"/>
    <col min="9990" max="9990" width="38.5703125" style="31" customWidth="1"/>
    <col min="9991" max="9991" width="11.28515625" style="31" customWidth="1"/>
    <col min="9992" max="9992" width="14.85546875" style="31" customWidth="1"/>
    <col min="9993" max="9993" width="18.42578125" style="31" customWidth="1"/>
    <col min="9994" max="9994" width="16.5703125" style="31" customWidth="1"/>
    <col min="9995" max="9995" width="14" style="31" customWidth="1"/>
    <col min="9996" max="9997" width="0" style="31" hidden="1" customWidth="1"/>
    <col min="9998" max="9998" width="19.85546875" style="31" customWidth="1"/>
    <col min="9999" max="10240" width="9.140625" style="31"/>
    <col min="10241" max="10241" width="8.5703125" style="31" customWidth="1"/>
    <col min="10242" max="10242" width="5.140625" style="31" customWidth="1"/>
    <col min="10243" max="10243" width="29.140625" style="31" customWidth="1"/>
    <col min="10244" max="10244" width="14.85546875" style="31" customWidth="1"/>
    <col min="10245" max="10245" width="13.5703125" style="31" customWidth="1"/>
    <col min="10246" max="10246" width="38.5703125" style="31" customWidth="1"/>
    <col min="10247" max="10247" width="11.28515625" style="31" customWidth="1"/>
    <col min="10248" max="10248" width="14.85546875" style="31" customWidth="1"/>
    <col min="10249" max="10249" width="18.42578125" style="31" customWidth="1"/>
    <col min="10250" max="10250" width="16.5703125" style="31" customWidth="1"/>
    <col min="10251" max="10251" width="14" style="31" customWidth="1"/>
    <col min="10252" max="10253" width="0" style="31" hidden="1" customWidth="1"/>
    <col min="10254" max="10254" width="19.85546875" style="31" customWidth="1"/>
    <col min="10255" max="10496" width="9.140625" style="31"/>
    <col min="10497" max="10497" width="8.5703125" style="31" customWidth="1"/>
    <col min="10498" max="10498" width="5.140625" style="31" customWidth="1"/>
    <col min="10499" max="10499" width="29.140625" style="31" customWidth="1"/>
    <col min="10500" max="10500" width="14.85546875" style="31" customWidth="1"/>
    <col min="10501" max="10501" width="13.5703125" style="31" customWidth="1"/>
    <col min="10502" max="10502" width="38.5703125" style="31" customWidth="1"/>
    <col min="10503" max="10503" width="11.28515625" style="31" customWidth="1"/>
    <col min="10504" max="10504" width="14.85546875" style="31" customWidth="1"/>
    <col min="10505" max="10505" width="18.42578125" style="31" customWidth="1"/>
    <col min="10506" max="10506" width="16.5703125" style="31" customWidth="1"/>
    <col min="10507" max="10507" width="14" style="31" customWidth="1"/>
    <col min="10508" max="10509" width="0" style="31" hidden="1" customWidth="1"/>
    <col min="10510" max="10510" width="19.85546875" style="31" customWidth="1"/>
    <col min="10511" max="10752" width="9.140625" style="31"/>
    <col min="10753" max="10753" width="8.5703125" style="31" customWidth="1"/>
    <col min="10754" max="10754" width="5.140625" style="31" customWidth="1"/>
    <col min="10755" max="10755" width="29.140625" style="31" customWidth="1"/>
    <col min="10756" max="10756" width="14.85546875" style="31" customWidth="1"/>
    <col min="10757" max="10757" width="13.5703125" style="31" customWidth="1"/>
    <col min="10758" max="10758" width="38.5703125" style="31" customWidth="1"/>
    <col min="10759" max="10759" width="11.28515625" style="31" customWidth="1"/>
    <col min="10760" max="10760" width="14.85546875" style="31" customWidth="1"/>
    <col min="10761" max="10761" width="18.42578125" style="31" customWidth="1"/>
    <col min="10762" max="10762" width="16.5703125" style="31" customWidth="1"/>
    <col min="10763" max="10763" width="14" style="31" customWidth="1"/>
    <col min="10764" max="10765" width="0" style="31" hidden="1" customWidth="1"/>
    <col min="10766" max="10766" width="19.85546875" style="31" customWidth="1"/>
    <col min="10767" max="11008" width="9.140625" style="31"/>
    <col min="11009" max="11009" width="8.5703125" style="31" customWidth="1"/>
    <col min="11010" max="11010" width="5.140625" style="31" customWidth="1"/>
    <col min="11011" max="11011" width="29.140625" style="31" customWidth="1"/>
    <col min="11012" max="11012" width="14.85546875" style="31" customWidth="1"/>
    <col min="11013" max="11013" width="13.5703125" style="31" customWidth="1"/>
    <col min="11014" max="11014" width="38.5703125" style="31" customWidth="1"/>
    <col min="11015" max="11015" width="11.28515625" style="31" customWidth="1"/>
    <col min="11016" max="11016" width="14.85546875" style="31" customWidth="1"/>
    <col min="11017" max="11017" width="18.42578125" style="31" customWidth="1"/>
    <col min="11018" max="11018" width="16.5703125" style="31" customWidth="1"/>
    <col min="11019" max="11019" width="14" style="31" customWidth="1"/>
    <col min="11020" max="11021" width="0" style="31" hidden="1" customWidth="1"/>
    <col min="11022" max="11022" width="19.85546875" style="31" customWidth="1"/>
    <col min="11023" max="11264" width="9.140625" style="31"/>
    <col min="11265" max="11265" width="8.5703125" style="31" customWidth="1"/>
    <col min="11266" max="11266" width="5.140625" style="31" customWidth="1"/>
    <col min="11267" max="11267" width="29.140625" style="31" customWidth="1"/>
    <col min="11268" max="11268" width="14.85546875" style="31" customWidth="1"/>
    <col min="11269" max="11269" width="13.5703125" style="31" customWidth="1"/>
    <col min="11270" max="11270" width="38.5703125" style="31" customWidth="1"/>
    <col min="11271" max="11271" width="11.28515625" style="31" customWidth="1"/>
    <col min="11272" max="11272" width="14.85546875" style="31" customWidth="1"/>
    <col min="11273" max="11273" width="18.42578125" style="31" customWidth="1"/>
    <col min="11274" max="11274" width="16.5703125" style="31" customWidth="1"/>
    <col min="11275" max="11275" width="14" style="31" customWidth="1"/>
    <col min="11276" max="11277" width="0" style="31" hidden="1" customWidth="1"/>
    <col min="11278" max="11278" width="19.85546875" style="31" customWidth="1"/>
    <col min="11279" max="11520" width="9.140625" style="31"/>
    <col min="11521" max="11521" width="8.5703125" style="31" customWidth="1"/>
    <col min="11522" max="11522" width="5.140625" style="31" customWidth="1"/>
    <col min="11523" max="11523" width="29.140625" style="31" customWidth="1"/>
    <col min="11524" max="11524" width="14.85546875" style="31" customWidth="1"/>
    <col min="11525" max="11525" width="13.5703125" style="31" customWidth="1"/>
    <col min="11526" max="11526" width="38.5703125" style="31" customWidth="1"/>
    <col min="11527" max="11527" width="11.28515625" style="31" customWidth="1"/>
    <col min="11528" max="11528" width="14.85546875" style="31" customWidth="1"/>
    <col min="11529" max="11529" width="18.42578125" style="31" customWidth="1"/>
    <col min="11530" max="11530" width="16.5703125" style="31" customWidth="1"/>
    <col min="11531" max="11531" width="14" style="31" customWidth="1"/>
    <col min="11532" max="11533" width="0" style="31" hidden="1" customWidth="1"/>
    <col min="11534" max="11534" width="19.85546875" style="31" customWidth="1"/>
    <col min="11535" max="11776" width="9.140625" style="31"/>
    <col min="11777" max="11777" width="8.5703125" style="31" customWidth="1"/>
    <col min="11778" max="11778" width="5.140625" style="31" customWidth="1"/>
    <col min="11779" max="11779" width="29.140625" style="31" customWidth="1"/>
    <col min="11780" max="11780" width="14.85546875" style="31" customWidth="1"/>
    <col min="11781" max="11781" width="13.5703125" style="31" customWidth="1"/>
    <col min="11782" max="11782" width="38.5703125" style="31" customWidth="1"/>
    <col min="11783" max="11783" width="11.28515625" style="31" customWidth="1"/>
    <col min="11784" max="11784" width="14.85546875" style="31" customWidth="1"/>
    <col min="11785" max="11785" width="18.42578125" style="31" customWidth="1"/>
    <col min="11786" max="11786" width="16.5703125" style="31" customWidth="1"/>
    <col min="11787" max="11787" width="14" style="31" customWidth="1"/>
    <col min="11788" max="11789" width="0" style="31" hidden="1" customWidth="1"/>
    <col min="11790" max="11790" width="19.85546875" style="31" customWidth="1"/>
    <col min="11791" max="12032" width="9.140625" style="31"/>
    <col min="12033" max="12033" width="8.5703125" style="31" customWidth="1"/>
    <col min="12034" max="12034" width="5.140625" style="31" customWidth="1"/>
    <col min="12035" max="12035" width="29.140625" style="31" customWidth="1"/>
    <col min="12036" max="12036" width="14.85546875" style="31" customWidth="1"/>
    <col min="12037" max="12037" width="13.5703125" style="31" customWidth="1"/>
    <col min="12038" max="12038" width="38.5703125" style="31" customWidth="1"/>
    <col min="12039" max="12039" width="11.28515625" style="31" customWidth="1"/>
    <col min="12040" max="12040" width="14.85546875" style="31" customWidth="1"/>
    <col min="12041" max="12041" width="18.42578125" style="31" customWidth="1"/>
    <col min="12042" max="12042" width="16.5703125" style="31" customWidth="1"/>
    <col min="12043" max="12043" width="14" style="31" customWidth="1"/>
    <col min="12044" max="12045" width="0" style="31" hidden="1" customWidth="1"/>
    <col min="12046" max="12046" width="19.85546875" style="31" customWidth="1"/>
    <col min="12047" max="12288" width="9.140625" style="31"/>
    <col min="12289" max="12289" width="8.5703125" style="31" customWidth="1"/>
    <col min="12290" max="12290" width="5.140625" style="31" customWidth="1"/>
    <col min="12291" max="12291" width="29.140625" style="31" customWidth="1"/>
    <col min="12292" max="12292" width="14.85546875" style="31" customWidth="1"/>
    <col min="12293" max="12293" width="13.5703125" style="31" customWidth="1"/>
    <col min="12294" max="12294" width="38.5703125" style="31" customWidth="1"/>
    <col min="12295" max="12295" width="11.28515625" style="31" customWidth="1"/>
    <col min="12296" max="12296" width="14.85546875" style="31" customWidth="1"/>
    <col min="12297" max="12297" width="18.42578125" style="31" customWidth="1"/>
    <col min="12298" max="12298" width="16.5703125" style="31" customWidth="1"/>
    <col min="12299" max="12299" width="14" style="31" customWidth="1"/>
    <col min="12300" max="12301" width="0" style="31" hidden="1" customWidth="1"/>
    <col min="12302" max="12302" width="19.85546875" style="31" customWidth="1"/>
    <col min="12303" max="12544" width="9.140625" style="31"/>
    <col min="12545" max="12545" width="8.5703125" style="31" customWidth="1"/>
    <col min="12546" max="12546" width="5.140625" style="31" customWidth="1"/>
    <col min="12547" max="12547" width="29.140625" style="31" customWidth="1"/>
    <col min="12548" max="12548" width="14.85546875" style="31" customWidth="1"/>
    <col min="12549" max="12549" width="13.5703125" style="31" customWidth="1"/>
    <col min="12550" max="12550" width="38.5703125" style="31" customWidth="1"/>
    <col min="12551" max="12551" width="11.28515625" style="31" customWidth="1"/>
    <col min="12552" max="12552" width="14.85546875" style="31" customWidth="1"/>
    <col min="12553" max="12553" width="18.42578125" style="31" customWidth="1"/>
    <col min="12554" max="12554" width="16.5703125" style="31" customWidth="1"/>
    <col min="12555" max="12555" width="14" style="31" customWidth="1"/>
    <col min="12556" max="12557" width="0" style="31" hidden="1" customWidth="1"/>
    <col min="12558" max="12558" width="19.85546875" style="31" customWidth="1"/>
    <col min="12559" max="12800" width="9.140625" style="31"/>
    <col min="12801" max="12801" width="8.5703125" style="31" customWidth="1"/>
    <col min="12802" max="12802" width="5.140625" style="31" customWidth="1"/>
    <col min="12803" max="12803" width="29.140625" style="31" customWidth="1"/>
    <col min="12804" max="12804" width="14.85546875" style="31" customWidth="1"/>
    <col min="12805" max="12805" width="13.5703125" style="31" customWidth="1"/>
    <col min="12806" max="12806" width="38.5703125" style="31" customWidth="1"/>
    <col min="12807" max="12807" width="11.28515625" style="31" customWidth="1"/>
    <col min="12808" max="12808" width="14.85546875" style="31" customWidth="1"/>
    <col min="12809" max="12809" width="18.42578125" style="31" customWidth="1"/>
    <col min="12810" max="12810" width="16.5703125" style="31" customWidth="1"/>
    <col min="12811" max="12811" width="14" style="31" customWidth="1"/>
    <col min="12812" max="12813" width="0" style="31" hidden="1" customWidth="1"/>
    <col min="12814" max="12814" width="19.85546875" style="31" customWidth="1"/>
    <col min="12815" max="13056" width="9.140625" style="31"/>
    <col min="13057" max="13057" width="8.5703125" style="31" customWidth="1"/>
    <col min="13058" max="13058" width="5.140625" style="31" customWidth="1"/>
    <col min="13059" max="13059" width="29.140625" style="31" customWidth="1"/>
    <col min="13060" max="13060" width="14.85546875" style="31" customWidth="1"/>
    <col min="13061" max="13061" width="13.5703125" style="31" customWidth="1"/>
    <col min="13062" max="13062" width="38.5703125" style="31" customWidth="1"/>
    <col min="13063" max="13063" width="11.28515625" style="31" customWidth="1"/>
    <col min="13064" max="13064" width="14.85546875" style="31" customWidth="1"/>
    <col min="13065" max="13065" width="18.42578125" style="31" customWidth="1"/>
    <col min="13066" max="13066" width="16.5703125" style="31" customWidth="1"/>
    <col min="13067" max="13067" width="14" style="31" customWidth="1"/>
    <col min="13068" max="13069" width="0" style="31" hidden="1" customWidth="1"/>
    <col min="13070" max="13070" width="19.85546875" style="31" customWidth="1"/>
    <col min="13071" max="13312" width="9.140625" style="31"/>
    <col min="13313" max="13313" width="8.5703125" style="31" customWidth="1"/>
    <col min="13314" max="13314" width="5.140625" style="31" customWidth="1"/>
    <col min="13315" max="13315" width="29.140625" style="31" customWidth="1"/>
    <col min="13316" max="13316" width="14.85546875" style="31" customWidth="1"/>
    <col min="13317" max="13317" width="13.5703125" style="31" customWidth="1"/>
    <col min="13318" max="13318" width="38.5703125" style="31" customWidth="1"/>
    <col min="13319" max="13319" width="11.28515625" style="31" customWidth="1"/>
    <col min="13320" max="13320" width="14.85546875" style="31" customWidth="1"/>
    <col min="13321" max="13321" width="18.42578125" style="31" customWidth="1"/>
    <col min="13322" max="13322" width="16.5703125" style="31" customWidth="1"/>
    <col min="13323" max="13323" width="14" style="31" customWidth="1"/>
    <col min="13324" max="13325" width="0" style="31" hidden="1" customWidth="1"/>
    <col min="13326" max="13326" width="19.85546875" style="31" customWidth="1"/>
    <col min="13327" max="13568" width="9.140625" style="31"/>
    <col min="13569" max="13569" width="8.5703125" style="31" customWidth="1"/>
    <col min="13570" max="13570" width="5.140625" style="31" customWidth="1"/>
    <col min="13571" max="13571" width="29.140625" style="31" customWidth="1"/>
    <col min="13572" max="13572" width="14.85546875" style="31" customWidth="1"/>
    <col min="13573" max="13573" width="13.5703125" style="31" customWidth="1"/>
    <col min="13574" max="13574" width="38.5703125" style="31" customWidth="1"/>
    <col min="13575" max="13575" width="11.28515625" style="31" customWidth="1"/>
    <col min="13576" max="13576" width="14.85546875" style="31" customWidth="1"/>
    <col min="13577" max="13577" width="18.42578125" style="31" customWidth="1"/>
    <col min="13578" max="13578" width="16.5703125" style="31" customWidth="1"/>
    <col min="13579" max="13579" width="14" style="31" customWidth="1"/>
    <col min="13580" max="13581" width="0" style="31" hidden="1" customWidth="1"/>
    <col min="13582" max="13582" width="19.85546875" style="31" customWidth="1"/>
    <col min="13583" max="13824" width="9.140625" style="31"/>
    <col min="13825" max="13825" width="8.5703125" style="31" customWidth="1"/>
    <col min="13826" max="13826" width="5.140625" style="31" customWidth="1"/>
    <col min="13827" max="13827" width="29.140625" style="31" customWidth="1"/>
    <col min="13828" max="13828" width="14.85546875" style="31" customWidth="1"/>
    <col min="13829" max="13829" width="13.5703125" style="31" customWidth="1"/>
    <col min="13830" max="13830" width="38.5703125" style="31" customWidth="1"/>
    <col min="13831" max="13831" width="11.28515625" style="31" customWidth="1"/>
    <col min="13832" max="13832" width="14.85546875" style="31" customWidth="1"/>
    <col min="13833" max="13833" width="18.42578125" style="31" customWidth="1"/>
    <col min="13834" max="13834" width="16.5703125" style="31" customWidth="1"/>
    <col min="13835" max="13835" width="14" style="31" customWidth="1"/>
    <col min="13836" max="13837" width="0" style="31" hidden="1" customWidth="1"/>
    <col min="13838" max="13838" width="19.85546875" style="31" customWidth="1"/>
    <col min="13839" max="14080" width="9.140625" style="31"/>
    <col min="14081" max="14081" width="8.5703125" style="31" customWidth="1"/>
    <col min="14082" max="14082" width="5.140625" style="31" customWidth="1"/>
    <col min="14083" max="14083" width="29.140625" style="31" customWidth="1"/>
    <col min="14084" max="14084" width="14.85546875" style="31" customWidth="1"/>
    <col min="14085" max="14085" width="13.5703125" style="31" customWidth="1"/>
    <col min="14086" max="14086" width="38.5703125" style="31" customWidth="1"/>
    <col min="14087" max="14087" width="11.28515625" style="31" customWidth="1"/>
    <col min="14088" max="14088" width="14.85546875" style="31" customWidth="1"/>
    <col min="14089" max="14089" width="18.42578125" style="31" customWidth="1"/>
    <col min="14090" max="14090" width="16.5703125" style="31" customWidth="1"/>
    <col min="14091" max="14091" width="14" style="31" customWidth="1"/>
    <col min="14092" max="14093" width="0" style="31" hidden="1" customWidth="1"/>
    <col min="14094" max="14094" width="19.85546875" style="31" customWidth="1"/>
    <col min="14095" max="14336" width="9.140625" style="31"/>
    <col min="14337" max="14337" width="8.5703125" style="31" customWidth="1"/>
    <col min="14338" max="14338" width="5.140625" style="31" customWidth="1"/>
    <col min="14339" max="14339" width="29.140625" style="31" customWidth="1"/>
    <col min="14340" max="14340" width="14.85546875" style="31" customWidth="1"/>
    <col min="14341" max="14341" width="13.5703125" style="31" customWidth="1"/>
    <col min="14342" max="14342" width="38.5703125" style="31" customWidth="1"/>
    <col min="14343" max="14343" width="11.28515625" style="31" customWidth="1"/>
    <col min="14344" max="14344" width="14.85546875" style="31" customWidth="1"/>
    <col min="14345" max="14345" width="18.42578125" style="31" customWidth="1"/>
    <col min="14346" max="14346" width="16.5703125" style="31" customWidth="1"/>
    <col min="14347" max="14347" width="14" style="31" customWidth="1"/>
    <col min="14348" max="14349" width="0" style="31" hidden="1" customWidth="1"/>
    <col min="14350" max="14350" width="19.85546875" style="31" customWidth="1"/>
    <col min="14351" max="14592" width="9.140625" style="31"/>
    <col min="14593" max="14593" width="8.5703125" style="31" customWidth="1"/>
    <col min="14594" max="14594" width="5.140625" style="31" customWidth="1"/>
    <col min="14595" max="14595" width="29.140625" style="31" customWidth="1"/>
    <col min="14596" max="14596" width="14.85546875" style="31" customWidth="1"/>
    <col min="14597" max="14597" width="13.5703125" style="31" customWidth="1"/>
    <col min="14598" max="14598" width="38.5703125" style="31" customWidth="1"/>
    <col min="14599" max="14599" width="11.28515625" style="31" customWidth="1"/>
    <col min="14600" max="14600" width="14.85546875" style="31" customWidth="1"/>
    <col min="14601" max="14601" width="18.42578125" style="31" customWidth="1"/>
    <col min="14602" max="14602" width="16.5703125" style="31" customWidth="1"/>
    <col min="14603" max="14603" width="14" style="31" customWidth="1"/>
    <col min="14604" max="14605" width="0" style="31" hidden="1" customWidth="1"/>
    <col min="14606" max="14606" width="19.85546875" style="31" customWidth="1"/>
    <col min="14607" max="14848" width="9.140625" style="31"/>
    <col min="14849" max="14849" width="8.5703125" style="31" customWidth="1"/>
    <col min="14850" max="14850" width="5.140625" style="31" customWidth="1"/>
    <col min="14851" max="14851" width="29.140625" style="31" customWidth="1"/>
    <col min="14852" max="14852" width="14.85546875" style="31" customWidth="1"/>
    <col min="14853" max="14853" width="13.5703125" style="31" customWidth="1"/>
    <col min="14854" max="14854" width="38.5703125" style="31" customWidth="1"/>
    <col min="14855" max="14855" width="11.28515625" style="31" customWidth="1"/>
    <col min="14856" max="14856" width="14.85546875" style="31" customWidth="1"/>
    <col min="14857" max="14857" width="18.42578125" style="31" customWidth="1"/>
    <col min="14858" max="14858" width="16.5703125" style="31" customWidth="1"/>
    <col min="14859" max="14859" width="14" style="31" customWidth="1"/>
    <col min="14860" max="14861" width="0" style="31" hidden="1" customWidth="1"/>
    <col min="14862" max="14862" width="19.85546875" style="31" customWidth="1"/>
    <col min="14863" max="15104" width="9.140625" style="31"/>
    <col min="15105" max="15105" width="8.5703125" style="31" customWidth="1"/>
    <col min="15106" max="15106" width="5.140625" style="31" customWidth="1"/>
    <col min="15107" max="15107" width="29.140625" style="31" customWidth="1"/>
    <col min="15108" max="15108" width="14.85546875" style="31" customWidth="1"/>
    <col min="15109" max="15109" width="13.5703125" style="31" customWidth="1"/>
    <col min="15110" max="15110" width="38.5703125" style="31" customWidth="1"/>
    <col min="15111" max="15111" width="11.28515625" style="31" customWidth="1"/>
    <col min="15112" max="15112" width="14.85546875" style="31" customWidth="1"/>
    <col min="15113" max="15113" width="18.42578125" style="31" customWidth="1"/>
    <col min="15114" max="15114" width="16.5703125" style="31" customWidth="1"/>
    <col min="15115" max="15115" width="14" style="31" customWidth="1"/>
    <col min="15116" max="15117" width="0" style="31" hidden="1" customWidth="1"/>
    <col min="15118" max="15118" width="19.85546875" style="31" customWidth="1"/>
    <col min="15119" max="15360" width="9.140625" style="31"/>
    <col min="15361" max="15361" width="8.5703125" style="31" customWidth="1"/>
    <col min="15362" max="15362" width="5.140625" style="31" customWidth="1"/>
    <col min="15363" max="15363" width="29.140625" style="31" customWidth="1"/>
    <col min="15364" max="15364" width="14.85546875" style="31" customWidth="1"/>
    <col min="15365" max="15365" width="13.5703125" style="31" customWidth="1"/>
    <col min="15366" max="15366" width="38.5703125" style="31" customWidth="1"/>
    <col min="15367" max="15367" width="11.28515625" style="31" customWidth="1"/>
    <col min="15368" max="15368" width="14.85546875" style="31" customWidth="1"/>
    <col min="15369" max="15369" width="18.42578125" style="31" customWidth="1"/>
    <col min="15370" max="15370" width="16.5703125" style="31" customWidth="1"/>
    <col min="15371" max="15371" width="14" style="31" customWidth="1"/>
    <col min="15372" max="15373" width="0" style="31" hidden="1" customWidth="1"/>
    <col min="15374" max="15374" width="19.85546875" style="31" customWidth="1"/>
    <col min="15375" max="15616" width="9.140625" style="31"/>
    <col min="15617" max="15617" width="8.5703125" style="31" customWidth="1"/>
    <col min="15618" max="15618" width="5.140625" style="31" customWidth="1"/>
    <col min="15619" max="15619" width="29.140625" style="31" customWidth="1"/>
    <col min="15620" max="15620" width="14.85546875" style="31" customWidth="1"/>
    <col min="15621" max="15621" width="13.5703125" style="31" customWidth="1"/>
    <col min="15622" max="15622" width="38.5703125" style="31" customWidth="1"/>
    <col min="15623" max="15623" width="11.28515625" style="31" customWidth="1"/>
    <col min="15624" max="15624" width="14.85546875" style="31" customWidth="1"/>
    <col min="15625" max="15625" width="18.42578125" style="31" customWidth="1"/>
    <col min="15626" max="15626" width="16.5703125" style="31" customWidth="1"/>
    <col min="15627" max="15627" width="14" style="31" customWidth="1"/>
    <col min="15628" max="15629" width="0" style="31" hidden="1" customWidth="1"/>
    <col min="15630" max="15630" width="19.85546875" style="31" customWidth="1"/>
    <col min="15631" max="15872" width="9.140625" style="31"/>
    <col min="15873" max="15873" width="8.5703125" style="31" customWidth="1"/>
    <col min="15874" max="15874" width="5.140625" style="31" customWidth="1"/>
    <col min="15875" max="15875" width="29.140625" style="31" customWidth="1"/>
    <col min="15876" max="15876" width="14.85546875" style="31" customWidth="1"/>
    <col min="15877" max="15877" width="13.5703125" style="31" customWidth="1"/>
    <col min="15878" max="15878" width="38.5703125" style="31" customWidth="1"/>
    <col min="15879" max="15879" width="11.28515625" style="31" customWidth="1"/>
    <col min="15880" max="15880" width="14.85546875" style="31" customWidth="1"/>
    <col min="15881" max="15881" width="18.42578125" style="31" customWidth="1"/>
    <col min="15882" max="15882" width="16.5703125" style="31" customWidth="1"/>
    <col min="15883" max="15883" width="14" style="31" customWidth="1"/>
    <col min="15884" max="15885" width="0" style="31" hidden="1" customWidth="1"/>
    <col min="15886" max="15886" width="19.85546875" style="31" customWidth="1"/>
    <col min="15887" max="16128" width="9.140625" style="31"/>
    <col min="16129" max="16129" width="8.5703125" style="31" customWidth="1"/>
    <col min="16130" max="16130" width="5.140625" style="31" customWidth="1"/>
    <col min="16131" max="16131" width="29.140625" style="31" customWidth="1"/>
    <col min="16132" max="16132" width="14.85546875" style="31" customWidth="1"/>
    <col min="16133" max="16133" width="13.5703125" style="31" customWidth="1"/>
    <col min="16134" max="16134" width="38.5703125" style="31" customWidth="1"/>
    <col min="16135" max="16135" width="11.28515625" style="31" customWidth="1"/>
    <col min="16136" max="16136" width="14.85546875" style="31" customWidth="1"/>
    <col min="16137" max="16137" width="18.42578125" style="31" customWidth="1"/>
    <col min="16138" max="16138" width="16.5703125" style="31" customWidth="1"/>
    <col min="16139" max="16139" width="14" style="31" customWidth="1"/>
    <col min="16140" max="16141" width="0" style="31" hidden="1" customWidth="1"/>
    <col min="16142" max="16142" width="19.85546875" style="31" customWidth="1"/>
    <col min="16143" max="16384" width="9.140625" style="31"/>
  </cols>
  <sheetData>
    <row r="1" spans="1:18" ht="19.899999999999999" customHeight="1">
      <c r="A1" s="28"/>
      <c r="B1" s="29"/>
      <c r="C1" s="233" t="s">
        <v>103</v>
      </c>
      <c r="D1" s="233"/>
      <c r="E1" s="233"/>
      <c r="F1" s="233"/>
      <c r="G1" s="233"/>
      <c r="H1" s="233"/>
      <c r="I1" s="233"/>
      <c r="J1" s="235" t="s">
        <v>104</v>
      </c>
      <c r="K1" s="236"/>
      <c r="L1" s="30"/>
      <c r="M1" s="30"/>
      <c r="N1" s="31"/>
    </row>
    <row r="2" spans="1:18" ht="21.6" customHeight="1">
      <c r="A2" s="32"/>
      <c r="B2" s="33"/>
      <c r="C2" s="234"/>
      <c r="D2" s="234"/>
      <c r="E2" s="234"/>
      <c r="F2" s="234"/>
      <c r="G2" s="234"/>
      <c r="H2" s="234"/>
      <c r="I2" s="234"/>
      <c r="J2" s="237" t="s">
        <v>105</v>
      </c>
      <c r="K2" s="238"/>
      <c r="L2" s="34"/>
      <c r="M2" s="34"/>
      <c r="N2" s="31"/>
    </row>
    <row r="3" spans="1:18" s="35" customFormat="1">
      <c r="B3" s="36"/>
      <c r="C3" s="36"/>
      <c r="D3" s="37"/>
      <c r="E3" s="36"/>
      <c r="F3" s="36"/>
      <c r="G3" s="36"/>
      <c r="H3" s="38"/>
      <c r="I3" s="38"/>
      <c r="J3" s="239" t="s">
        <v>106</v>
      </c>
      <c r="K3" s="239"/>
      <c r="L3" s="39"/>
      <c r="M3" s="39"/>
    </row>
    <row r="4" spans="1:18" ht="25.5" customHeight="1">
      <c r="A4" s="227" t="s">
        <v>107</v>
      </c>
      <c r="B4" s="240"/>
      <c r="C4" s="40" t="s">
        <v>108</v>
      </c>
      <c r="D4" s="41"/>
      <c r="E4" s="229" t="s">
        <v>109</v>
      </c>
      <c r="F4" s="230"/>
      <c r="G4" s="43" t="s">
        <v>110</v>
      </c>
      <c r="H4" s="44"/>
      <c r="I4" s="44"/>
      <c r="J4" s="44"/>
      <c r="K4" s="45"/>
      <c r="L4" s="34"/>
      <c r="M4" s="34"/>
      <c r="N4" s="46"/>
    </row>
    <row r="5" spans="1:18" ht="28.5" customHeight="1">
      <c r="A5" s="227" t="s">
        <v>111</v>
      </c>
      <c r="B5" s="228"/>
      <c r="C5" s="228"/>
      <c r="D5" s="228"/>
      <c r="E5" s="228"/>
      <c r="F5" s="47"/>
      <c r="G5" s="47"/>
      <c r="H5" s="44"/>
      <c r="I5" s="44"/>
      <c r="J5" s="44"/>
      <c r="K5" s="45"/>
      <c r="L5" s="34"/>
      <c r="M5" s="34"/>
      <c r="N5" s="46"/>
    </row>
    <row r="6" spans="1:18" ht="25.5" customHeight="1">
      <c r="A6" s="48" t="s">
        <v>112</v>
      </c>
      <c r="B6" s="229" t="s">
        <v>113</v>
      </c>
      <c r="C6" s="230"/>
      <c r="D6" s="49" t="s">
        <v>114</v>
      </c>
      <c r="E6" s="50" t="s">
        <v>115</v>
      </c>
      <c r="F6" s="42" t="s">
        <v>116</v>
      </c>
      <c r="G6" s="51" t="s">
        <v>117</v>
      </c>
      <c r="H6" s="52" t="s">
        <v>114</v>
      </c>
      <c r="I6" s="53" t="s">
        <v>118</v>
      </c>
      <c r="J6" s="53" t="s">
        <v>119</v>
      </c>
      <c r="K6" s="53" t="s">
        <v>120</v>
      </c>
      <c r="L6" s="52" t="s">
        <v>121</v>
      </c>
      <c r="M6" s="52" t="s">
        <v>122</v>
      </c>
      <c r="N6" s="54" t="s">
        <v>123</v>
      </c>
    </row>
    <row r="7" spans="1:18" s="61" customFormat="1">
      <c r="A7" s="55">
        <v>1</v>
      </c>
      <c r="B7" s="40" t="s">
        <v>124</v>
      </c>
      <c r="C7" s="47"/>
      <c r="D7" s="56" t="s">
        <v>125</v>
      </c>
      <c r="E7" s="40" t="s">
        <v>126</v>
      </c>
      <c r="F7" s="40" t="s">
        <v>127</v>
      </c>
      <c r="G7" s="55">
        <v>1</v>
      </c>
      <c r="H7" s="55" t="s">
        <v>125</v>
      </c>
      <c r="I7" s="57">
        <v>201710016034002</v>
      </c>
      <c r="J7" s="45" t="s">
        <v>128</v>
      </c>
      <c r="K7" s="58" t="s">
        <v>129</v>
      </c>
      <c r="L7" s="58" t="s">
        <v>130</v>
      </c>
      <c r="M7" s="59" t="s">
        <v>131</v>
      </c>
      <c r="N7" s="60">
        <f>SUM(G7:G37)</f>
        <v>31</v>
      </c>
    </row>
    <row r="8" spans="1:18" s="61" customFormat="1">
      <c r="A8" s="55">
        <v>2</v>
      </c>
      <c r="B8" s="40" t="s">
        <v>124</v>
      </c>
      <c r="C8" s="47"/>
      <c r="D8" s="56" t="s">
        <v>132</v>
      </c>
      <c r="E8" s="40" t="s">
        <v>126</v>
      </c>
      <c r="F8" s="40" t="s">
        <v>133</v>
      </c>
      <c r="G8" s="55">
        <v>1</v>
      </c>
      <c r="H8" s="55" t="s">
        <v>132</v>
      </c>
      <c r="I8" s="57">
        <v>201711025034760</v>
      </c>
      <c r="J8" s="45" t="s">
        <v>134</v>
      </c>
      <c r="K8" s="58" t="s">
        <v>135</v>
      </c>
      <c r="L8" s="58" t="s">
        <v>130</v>
      </c>
      <c r="M8" s="59" t="s">
        <v>136</v>
      </c>
      <c r="N8" s="62"/>
    </row>
    <row r="9" spans="1:18" s="61" customFormat="1">
      <c r="A9" s="55">
        <v>3</v>
      </c>
      <c r="B9" s="40" t="s">
        <v>124</v>
      </c>
      <c r="C9" s="47"/>
      <c r="D9" s="56" t="s">
        <v>137</v>
      </c>
      <c r="E9" s="40" t="s">
        <v>126</v>
      </c>
      <c r="F9" s="40" t="s">
        <v>138</v>
      </c>
      <c r="G9" s="55">
        <v>1</v>
      </c>
      <c r="H9" s="55" t="s">
        <v>137</v>
      </c>
      <c r="I9" s="57">
        <v>201711028034102</v>
      </c>
      <c r="J9" s="45" t="s">
        <v>139</v>
      </c>
      <c r="K9" s="58" t="s">
        <v>140</v>
      </c>
      <c r="L9" s="58" t="s">
        <v>130</v>
      </c>
      <c r="M9" s="59" t="s">
        <v>141</v>
      </c>
      <c r="N9" s="62"/>
    </row>
    <row r="10" spans="1:18" s="61" customFormat="1">
      <c r="A10" s="55">
        <v>4</v>
      </c>
      <c r="B10" s="40" t="s">
        <v>124</v>
      </c>
      <c r="C10" s="47"/>
      <c r="D10" s="56" t="s">
        <v>142</v>
      </c>
      <c r="E10" s="40" t="s">
        <v>126</v>
      </c>
      <c r="F10" s="40" t="s">
        <v>143</v>
      </c>
      <c r="G10" s="55">
        <v>1</v>
      </c>
      <c r="H10" s="55" t="s">
        <v>142</v>
      </c>
      <c r="I10" s="57">
        <v>201711038037792</v>
      </c>
      <c r="J10" s="45" t="s">
        <v>144</v>
      </c>
      <c r="K10" s="58" t="s">
        <v>145</v>
      </c>
      <c r="L10" s="58" t="s">
        <v>146</v>
      </c>
      <c r="M10" s="59" t="s">
        <v>147</v>
      </c>
      <c r="N10" s="62"/>
      <c r="Q10" s="63"/>
      <c r="R10" s="64"/>
    </row>
    <row r="11" spans="1:18" s="61" customFormat="1">
      <c r="A11" s="55">
        <v>5</v>
      </c>
      <c r="B11" s="40" t="s">
        <v>124</v>
      </c>
      <c r="C11" s="47"/>
      <c r="D11" s="56" t="s">
        <v>148</v>
      </c>
      <c r="E11" s="40" t="s">
        <v>126</v>
      </c>
      <c r="F11" s="40" t="s">
        <v>149</v>
      </c>
      <c r="G11" s="55">
        <v>1</v>
      </c>
      <c r="H11" s="55" t="s">
        <v>148</v>
      </c>
      <c r="I11" s="57">
        <v>201711053034162</v>
      </c>
      <c r="J11" s="45" t="s">
        <v>150</v>
      </c>
      <c r="K11" s="58" t="s">
        <v>151</v>
      </c>
      <c r="L11" s="58" t="s">
        <v>130</v>
      </c>
      <c r="M11" s="59" t="s">
        <v>152</v>
      </c>
      <c r="N11" s="62"/>
    </row>
    <row r="12" spans="1:18" s="61" customFormat="1">
      <c r="A12" s="55">
        <v>6</v>
      </c>
      <c r="B12" s="40" t="s">
        <v>124</v>
      </c>
      <c r="C12" s="47"/>
      <c r="D12" s="56" t="s">
        <v>153</v>
      </c>
      <c r="E12" s="40" t="s">
        <v>126</v>
      </c>
      <c r="F12" s="40" t="s">
        <v>154</v>
      </c>
      <c r="G12" s="55">
        <v>1</v>
      </c>
      <c r="H12" s="55" t="s">
        <v>153</v>
      </c>
      <c r="I12" s="57">
        <v>201711060034868</v>
      </c>
      <c r="J12" s="45" t="s">
        <v>155</v>
      </c>
      <c r="K12" s="58" t="s">
        <v>156</v>
      </c>
      <c r="L12" s="58" t="s">
        <v>130</v>
      </c>
      <c r="M12" s="59" t="s">
        <v>157</v>
      </c>
      <c r="N12" s="62"/>
    </row>
    <row r="13" spans="1:18" s="61" customFormat="1">
      <c r="A13" s="55">
        <v>7</v>
      </c>
      <c r="B13" s="40" t="s">
        <v>124</v>
      </c>
      <c r="C13" s="47"/>
      <c r="D13" s="56" t="s">
        <v>158</v>
      </c>
      <c r="E13" s="40" t="s">
        <v>126</v>
      </c>
      <c r="F13" s="40" t="s">
        <v>143</v>
      </c>
      <c r="G13" s="55">
        <v>1</v>
      </c>
      <c r="H13" s="55" t="s">
        <v>158</v>
      </c>
      <c r="I13" s="57">
        <v>201711038037793</v>
      </c>
      <c r="J13" s="45" t="s">
        <v>144</v>
      </c>
      <c r="K13" s="58" t="s">
        <v>159</v>
      </c>
      <c r="L13" s="58" t="s">
        <v>146</v>
      </c>
      <c r="M13" s="59" t="s">
        <v>160</v>
      </c>
      <c r="N13" s="62"/>
    </row>
    <row r="14" spans="1:18" s="61" customFormat="1">
      <c r="A14" s="55">
        <v>8</v>
      </c>
      <c r="B14" s="40" t="s">
        <v>124</v>
      </c>
      <c r="C14" s="47"/>
      <c r="D14" s="56" t="s">
        <v>161</v>
      </c>
      <c r="E14" s="40" t="s">
        <v>126</v>
      </c>
      <c r="F14" s="40" t="s">
        <v>143</v>
      </c>
      <c r="G14" s="55">
        <v>1</v>
      </c>
      <c r="H14" s="55" t="s">
        <v>161</v>
      </c>
      <c r="I14" s="57">
        <v>201711038034152</v>
      </c>
      <c r="J14" s="45" t="s">
        <v>144</v>
      </c>
      <c r="K14" s="58" t="s">
        <v>162</v>
      </c>
      <c r="L14" s="58" t="s">
        <v>130</v>
      </c>
      <c r="M14" s="59" t="s">
        <v>163</v>
      </c>
      <c r="N14" s="62"/>
    </row>
    <row r="15" spans="1:18" s="61" customFormat="1">
      <c r="A15" s="55">
        <v>9</v>
      </c>
      <c r="B15" s="40" t="s">
        <v>124</v>
      </c>
      <c r="C15" s="47"/>
      <c r="D15" s="56" t="s">
        <v>164</v>
      </c>
      <c r="E15" s="40" t="s">
        <v>126</v>
      </c>
      <c r="F15" s="40" t="s">
        <v>143</v>
      </c>
      <c r="G15" s="55">
        <v>1</v>
      </c>
      <c r="H15" s="55" t="s">
        <v>164</v>
      </c>
      <c r="I15" s="57">
        <v>201807038050567</v>
      </c>
      <c r="J15" s="45" t="s">
        <v>144</v>
      </c>
      <c r="K15" s="58" t="s">
        <v>165</v>
      </c>
      <c r="L15" s="58" t="s">
        <v>166</v>
      </c>
      <c r="M15" s="59" t="s">
        <v>167</v>
      </c>
      <c r="N15" s="62"/>
    </row>
    <row r="16" spans="1:18" s="61" customFormat="1">
      <c r="A16" s="55">
        <v>10</v>
      </c>
      <c r="B16" s="40" t="s">
        <v>124</v>
      </c>
      <c r="C16" s="47"/>
      <c r="D16" s="56" t="s">
        <v>168</v>
      </c>
      <c r="E16" s="40" t="s">
        <v>126</v>
      </c>
      <c r="F16" s="40" t="s">
        <v>169</v>
      </c>
      <c r="G16" s="55">
        <v>1</v>
      </c>
      <c r="H16" s="55" t="s">
        <v>168</v>
      </c>
      <c r="I16" s="57">
        <v>201910016009105</v>
      </c>
      <c r="J16" s="45" t="s">
        <v>170</v>
      </c>
      <c r="K16" s="58" t="s">
        <v>171</v>
      </c>
      <c r="L16" s="58" t="s">
        <v>172</v>
      </c>
      <c r="M16" s="59" t="s">
        <v>173</v>
      </c>
      <c r="N16" s="62"/>
    </row>
    <row r="17" spans="1:14" s="61" customFormat="1">
      <c r="A17" s="55">
        <v>11</v>
      </c>
      <c r="B17" s="40" t="s">
        <v>124</v>
      </c>
      <c r="C17" s="47"/>
      <c r="D17" s="56" t="s">
        <v>174</v>
      </c>
      <c r="E17" s="40" t="s">
        <v>126</v>
      </c>
      <c r="F17" s="40" t="s">
        <v>175</v>
      </c>
      <c r="G17" s="55">
        <v>1</v>
      </c>
      <c r="H17" s="55" t="s">
        <v>174</v>
      </c>
      <c r="I17" s="57">
        <v>201911028055829</v>
      </c>
      <c r="J17" s="45" t="s">
        <v>176</v>
      </c>
      <c r="K17" s="58" t="s">
        <v>177</v>
      </c>
      <c r="L17" s="58" t="s">
        <v>178</v>
      </c>
      <c r="M17" s="59" t="s">
        <v>179</v>
      </c>
      <c r="N17" s="62"/>
    </row>
    <row r="18" spans="1:14" s="61" customFormat="1">
      <c r="A18" s="55">
        <v>12</v>
      </c>
      <c r="B18" s="40" t="s">
        <v>124</v>
      </c>
      <c r="C18" s="47"/>
      <c r="D18" s="56" t="s">
        <v>180</v>
      </c>
      <c r="E18" s="40" t="s">
        <v>126</v>
      </c>
      <c r="F18" s="40" t="s">
        <v>181</v>
      </c>
      <c r="G18" s="55">
        <v>1</v>
      </c>
      <c r="H18" s="55" t="s">
        <v>180</v>
      </c>
      <c r="I18" s="57">
        <v>2019100116017830</v>
      </c>
      <c r="J18" s="45" t="s">
        <v>182</v>
      </c>
      <c r="K18" s="58" t="s">
        <v>183</v>
      </c>
      <c r="L18" s="58" t="s">
        <v>184</v>
      </c>
      <c r="M18" s="59" t="s">
        <v>185</v>
      </c>
      <c r="N18" s="62"/>
    </row>
    <row r="19" spans="1:14" s="61" customFormat="1">
      <c r="A19" s="55">
        <v>13</v>
      </c>
      <c r="B19" s="40" t="s">
        <v>124</v>
      </c>
      <c r="C19" s="47"/>
      <c r="D19" s="56" t="s">
        <v>186</v>
      </c>
      <c r="E19" s="40" t="s">
        <v>126</v>
      </c>
      <c r="F19" s="40" t="s">
        <v>187</v>
      </c>
      <c r="G19" s="55">
        <v>1</v>
      </c>
      <c r="H19" s="55" t="s">
        <v>186</v>
      </c>
      <c r="I19" s="57">
        <v>202011025053680</v>
      </c>
      <c r="J19" s="45" t="s">
        <v>134</v>
      </c>
      <c r="K19" s="58" t="s">
        <v>188</v>
      </c>
      <c r="L19" s="58" t="s">
        <v>189</v>
      </c>
      <c r="M19" s="59" t="s">
        <v>190</v>
      </c>
      <c r="N19" s="62"/>
    </row>
    <row r="20" spans="1:14" s="61" customFormat="1">
      <c r="A20" s="55">
        <v>14</v>
      </c>
      <c r="B20" s="40" t="s">
        <v>124</v>
      </c>
      <c r="C20" s="47"/>
      <c r="D20" s="56" t="s">
        <v>191</v>
      </c>
      <c r="E20" s="40" t="s">
        <v>126</v>
      </c>
      <c r="F20" s="40" t="s">
        <v>192</v>
      </c>
      <c r="G20" s="55">
        <v>1</v>
      </c>
      <c r="H20" s="55" t="s">
        <v>191</v>
      </c>
      <c r="I20" s="57">
        <v>202007009054174</v>
      </c>
      <c r="J20" s="45" t="s">
        <v>193</v>
      </c>
      <c r="K20" s="58" t="s">
        <v>194</v>
      </c>
      <c r="L20" s="58" t="s">
        <v>189</v>
      </c>
      <c r="M20" s="59" t="s">
        <v>195</v>
      </c>
      <c r="N20" s="62"/>
    </row>
    <row r="21" spans="1:14" s="61" customFormat="1">
      <c r="A21" s="55">
        <v>15</v>
      </c>
      <c r="B21" s="40" t="s">
        <v>124</v>
      </c>
      <c r="C21" s="47"/>
      <c r="D21" s="56" t="s">
        <v>196</v>
      </c>
      <c r="E21" s="40" t="s">
        <v>197</v>
      </c>
      <c r="F21" s="40" t="s">
        <v>198</v>
      </c>
      <c r="G21" s="55">
        <v>1</v>
      </c>
      <c r="H21" s="55" t="s">
        <v>196</v>
      </c>
      <c r="I21" s="57" t="s">
        <v>199</v>
      </c>
      <c r="J21" s="45" t="s">
        <v>200</v>
      </c>
      <c r="K21" s="58" t="s">
        <v>201</v>
      </c>
      <c r="L21" s="58" t="s">
        <v>189</v>
      </c>
      <c r="M21" s="59" t="s">
        <v>202</v>
      </c>
      <c r="N21" s="62"/>
    </row>
    <row r="22" spans="1:14" s="61" customFormat="1">
      <c r="A22" s="55">
        <v>16</v>
      </c>
      <c r="B22" s="40" t="s">
        <v>124</v>
      </c>
      <c r="C22" s="47"/>
      <c r="D22" s="56" t="s">
        <v>203</v>
      </c>
      <c r="E22" s="40" t="s">
        <v>126</v>
      </c>
      <c r="F22" s="40" t="s">
        <v>204</v>
      </c>
      <c r="G22" s="55">
        <v>1</v>
      </c>
      <c r="H22" s="55" t="s">
        <v>203</v>
      </c>
      <c r="I22" s="57">
        <v>202010016053874</v>
      </c>
      <c r="J22" s="45" t="s">
        <v>128</v>
      </c>
      <c r="K22" s="58" t="s">
        <v>205</v>
      </c>
      <c r="L22" s="58" t="s">
        <v>189</v>
      </c>
      <c r="M22" s="59" t="s">
        <v>206</v>
      </c>
      <c r="N22" s="62"/>
    </row>
    <row r="23" spans="1:14" s="61" customFormat="1">
      <c r="A23" s="55">
        <v>17</v>
      </c>
      <c r="B23" s="40" t="s">
        <v>124</v>
      </c>
      <c r="C23" s="47"/>
      <c r="D23" s="56" t="s">
        <v>207</v>
      </c>
      <c r="E23" s="40" t="s">
        <v>126</v>
      </c>
      <c r="F23" s="40" t="s">
        <v>208</v>
      </c>
      <c r="G23" s="55">
        <v>1</v>
      </c>
      <c r="H23" s="55" t="s">
        <v>207</v>
      </c>
      <c r="I23" s="57">
        <v>202011047029200</v>
      </c>
      <c r="J23" s="45" t="s">
        <v>209</v>
      </c>
      <c r="K23" s="58" t="s">
        <v>210</v>
      </c>
      <c r="L23" s="58" t="s">
        <v>189</v>
      </c>
      <c r="M23" s="59" t="s">
        <v>211</v>
      </c>
      <c r="N23" s="62"/>
    </row>
    <row r="24" spans="1:14" s="61" customFormat="1">
      <c r="A24" s="55">
        <v>18</v>
      </c>
      <c r="B24" s="40" t="s">
        <v>124</v>
      </c>
      <c r="C24" s="47"/>
      <c r="D24" s="56" t="s">
        <v>212</v>
      </c>
      <c r="E24" s="40" t="s">
        <v>126</v>
      </c>
      <c r="F24" s="40" t="s">
        <v>213</v>
      </c>
      <c r="G24" s="55">
        <v>1</v>
      </c>
      <c r="H24" s="55" t="s">
        <v>212</v>
      </c>
      <c r="I24" s="57">
        <v>202005080054093</v>
      </c>
      <c r="J24" s="45" t="s">
        <v>214</v>
      </c>
      <c r="K24" s="58" t="s">
        <v>215</v>
      </c>
      <c r="L24" s="58" t="s">
        <v>189</v>
      </c>
      <c r="M24" s="59" t="s">
        <v>216</v>
      </c>
      <c r="N24" s="62"/>
    </row>
    <row r="25" spans="1:14" s="61" customFormat="1">
      <c r="A25" s="55">
        <v>19</v>
      </c>
      <c r="B25" s="40" t="s">
        <v>124</v>
      </c>
      <c r="C25" s="47"/>
      <c r="D25" s="56" t="s">
        <v>217</v>
      </c>
      <c r="E25" s="40" t="s">
        <v>126</v>
      </c>
      <c r="F25" s="40" t="s">
        <v>218</v>
      </c>
      <c r="G25" s="55">
        <v>1</v>
      </c>
      <c r="H25" s="55" t="s">
        <v>217</v>
      </c>
      <c r="I25" s="57">
        <v>202007016054945</v>
      </c>
      <c r="J25" s="45" t="s">
        <v>128</v>
      </c>
      <c r="K25" s="58" t="s">
        <v>219</v>
      </c>
      <c r="L25" s="58" t="s">
        <v>220</v>
      </c>
      <c r="M25" s="59" t="s">
        <v>221</v>
      </c>
      <c r="N25" s="62"/>
    </row>
    <row r="26" spans="1:14" s="61" customFormat="1">
      <c r="A26" s="55">
        <v>20</v>
      </c>
      <c r="B26" s="40" t="s">
        <v>124</v>
      </c>
      <c r="C26" s="47"/>
      <c r="D26" s="56" t="s">
        <v>222</v>
      </c>
      <c r="E26" s="40" t="s">
        <v>126</v>
      </c>
      <c r="F26" s="40" t="s">
        <v>218</v>
      </c>
      <c r="G26" s="55">
        <v>1</v>
      </c>
      <c r="H26" s="55" t="s">
        <v>222</v>
      </c>
      <c r="I26" s="57">
        <v>202007016054944</v>
      </c>
      <c r="J26" s="45" t="s">
        <v>128</v>
      </c>
      <c r="K26" s="58" t="s">
        <v>223</v>
      </c>
      <c r="L26" s="58" t="s">
        <v>220</v>
      </c>
      <c r="M26" s="59" t="s">
        <v>224</v>
      </c>
      <c r="N26" s="62"/>
    </row>
    <row r="27" spans="1:14" s="61" customFormat="1">
      <c r="A27" s="55">
        <v>21</v>
      </c>
      <c r="B27" s="40" t="s">
        <v>124</v>
      </c>
      <c r="C27" s="47"/>
      <c r="D27" s="56" t="s">
        <v>225</v>
      </c>
      <c r="E27" s="40" t="s">
        <v>126</v>
      </c>
      <c r="F27" s="40" t="s">
        <v>218</v>
      </c>
      <c r="G27" s="55">
        <v>1</v>
      </c>
      <c r="H27" s="55" t="s">
        <v>225</v>
      </c>
      <c r="I27" s="57">
        <v>202007016038082</v>
      </c>
      <c r="J27" s="45" t="s">
        <v>128</v>
      </c>
      <c r="K27" s="58" t="s">
        <v>226</v>
      </c>
      <c r="L27" s="58" t="s">
        <v>220</v>
      </c>
      <c r="M27" s="59" t="s">
        <v>227</v>
      </c>
      <c r="N27" s="62"/>
    </row>
    <row r="28" spans="1:14" s="61" customFormat="1">
      <c r="A28" s="55">
        <v>22</v>
      </c>
      <c r="B28" s="40" t="s">
        <v>124</v>
      </c>
      <c r="C28" s="47"/>
      <c r="D28" s="56" t="s">
        <v>228</v>
      </c>
      <c r="E28" s="40" t="s">
        <v>126</v>
      </c>
      <c r="F28" s="40" t="s">
        <v>229</v>
      </c>
      <c r="G28" s="55">
        <v>1</v>
      </c>
      <c r="H28" s="55" t="s">
        <v>228</v>
      </c>
      <c r="I28" s="57">
        <v>202107025060324</v>
      </c>
      <c r="J28" s="45" t="s">
        <v>230</v>
      </c>
      <c r="K28" s="58" t="s">
        <v>231</v>
      </c>
      <c r="L28" s="58" t="s">
        <v>232</v>
      </c>
      <c r="M28" s="59" t="s">
        <v>233</v>
      </c>
      <c r="N28" s="62"/>
    </row>
    <row r="29" spans="1:14" s="61" customFormat="1">
      <c r="A29" s="55">
        <v>23</v>
      </c>
      <c r="B29" s="40" t="s">
        <v>124</v>
      </c>
      <c r="C29" s="47"/>
      <c r="D29" s="56" t="s">
        <v>234</v>
      </c>
      <c r="E29" s="40" t="s">
        <v>126</v>
      </c>
      <c r="F29" s="40" t="s">
        <v>229</v>
      </c>
      <c r="G29" s="55">
        <v>1</v>
      </c>
      <c r="H29" s="55" t="s">
        <v>234</v>
      </c>
      <c r="I29" s="57">
        <v>202007025055031</v>
      </c>
      <c r="J29" s="45" t="s">
        <v>134</v>
      </c>
      <c r="K29" s="58" t="s">
        <v>235</v>
      </c>
      <c r="L29" s="58" t="s">
        <v>220</v>
      </c>
      <c r="M29" s="59" t="s">
        <v>236</v>
      </c>
      <c r="N29" s="62"/>
    </row>
    <row r="30" spans="1:14" s="61" customFormat="1">
      <c r="A30" s="55">
        <v>24</v>
      </c>
      <c r="B30" s="40" t="s">
        <v>124</v>
      </c>
      <c r="C30" s="47"/>
      <c r="D30" s="56" t="s">
        <v>237</v>
      </c>
      <c r="E30" s="40" t="s">
        <v>126</v>
      </c>
      <c r="F30" s="40" t="s">
        <v>229</v>
      </c>
      <c r="G30" s="55">
        <v>1</v>
      </c>
      <c r="H30" s="55" t="s">
        <v>237</v>
      </c>
      <c r="I30" s="57">
        <v>202007025055029</v>
      </c>
      <c r="J30" s="45" t="s">
        <v>134</v>
      </c>
      <c r="K30" s="58" t="s">
        <v>238</v>
      </c>
      <c r="L30" s="58" t="s">
        <v>220</v>
      </c>
      <c r="M30" s="59" t="s">
        <v>239</v>
      </c>
      <c r="N30" s="62"/>
    </row>
    <row r="31" spans="1:14" s="61" customFormat="1">
      <c r="A31" s="55">
        <v>25</v>
      </c>
      <c r="B31" s="40" t="s">
        <v>124</v>
      </c>
      <c r="C31" s="47"/>
      <c r="D31" s="56" t="s">
        <v>240</v>
      </c>
      <c r="E31" s="40" t="s">
        <v>126</v>
      </c>
      <c r="F31" s="40" t="s">
        <v>241</v>
      </c>
      <c r="G31" s="55">
        <v>1</v>
      </c>
      <c r="H31" s="55" t="s">
        <v>240</v>
      </c>
      <c r="I31" s="57">
        <v>202007028055251</v>
      </c>
      <c r="J31" s="45" t="s">
        <v>176</v>
      </c>
      <c r="K31" s="58" t="s">
        <v>242</v>
      </c>
      <c r="L31" s="58" t="s">
        <v>220</v>
      </c>
      <c r="M31" s="59" t="s">
        <v>243</v>
      </c>
      <c r="N31" s="62"/>
    </row>
    <row r="32" spans="1:14" s="61" customFormat="1">
      <c r="A32" s="55">
        <v>26</v>
      </c>
      <c r="B32" s="40" t="s">
        <v>124</v>
      </c>
      <c r="C32" s="47"/>
      <c r="D32" s="56" t="s">
        <v>244</v>
      </c>
      <c r="E32" s="40" t="s">
        <v>126</v>
      </c>
      <c r="F32" s="40" t="s">
        <v>245</v>
      </c>
      <c r="G32" s="55">
        <v>1</v>
      </c>
      <c r="H32" s="55" t="s">
        <v>244</v>
      </c>
      <c r="I32" s="57">
        <v>202007038036481</v>
      </c>
      <c r="J32" s="45" t="s">
        <v>144</v>
      </c>
      <c r="K32" s="58" t="s">
        <v>246</v>
      </c>
      <c r="L32" s="58" t="s">
        <v>220</v>
      </c>
      <c r="M32" s="59" t="s">
        <v>247</v>
      </c>
      <c r="N32" s="62"/>
    </row>
    <row r="33" spans="1:14" s="61" customFormat="1">
      <c r="A33" s="55">
        <v>27</v>
      </c>
      <c r="B33" s="40" t="s">
        <v>124</v>
      </c>
      <c r="C33" s="47"/>
      <c r="D33" s="56" t="s">
        <v>248</v>
      </c>
      <c r="E33" s="40" t="s">
        <v>126</v>
      </c>
      <c r="F33" s="40" t="s">
        <v>245</v>
      </c>
      <c r="G33" s="55">
        <v>1</v>
      </c>
      <c r="H33" s="55" t="s">
        <v>248</v>
      </c>
      <c r="I33" s="57">
        <v>202007038055528</v>
      </c>
      <c r="J33" s="45" t="s">
        <v>144</v>
      </c>
      <c r="K33" s="58" t="s">
        <v>249</v>
      </c>
      <c r="L33" s="58" t="s">
        <v>220</v>
      </c>
      <c r="M33" s="59" t="s">
        <v>250</v>
      </c>
      <c r="N33" s="62"/>
    </row>
    <row r="34" spans="1:14" s="61" customFormat="1">
      <c r="A34" s="55">
        <v>28</v>
      </c>
      <c r="B34" s="40" t="s">
        <v>124</v>
      </c>
      <c r="C34" s="65"/>
      <c r="D34" s="56" t="s">
        <v>251</v>
      </c>
      <c r="E34" s="40" t="s">
        <v>126</v>
      </c>
      <c r="F34" s="59" t="s">
        <v>229</v>
      </c>
      <c r="G34" s="55">
        <v>1</v>
      </c>
      <c r="H34" s="55" t="s">
        <v>251</v>
      </c>
      <c r="I34" s="57">
        <v>202007025055030</v>
      </c>
      <c r="J34" s="45" t="s">
        <v>134</v>
      </c>
      <c r="K34" s="58" t="s">
        <v>252</v>
      </c>
      <c r="L34" s="58" t="s">
        <v>220</v>
      </c>
      <c r="M34" s="59" t="s">
        <v>253</v>
      </c>
      <c r="N34" s="62"/>
    </row>
    <row r="35" spans="1:14" s="61" customFormat="1">
      <c r="A35" s="55">
        <v>29</v>
      </c>
      <c r="B35" s="40" t="s">
        <v>124</v>
      </c>
      <c r="C35" s="65"/>
      <c r="D35" s="56" t="s">
        <v>254</v>
      </c>
      <c r="E35" s="40" t="s">
        <v>126</v>
      </c>
      <c r="F35" s="59" t="s">
        <v>218</v>
      </c>
      <c r="G35" s="55">
        <v>1</v>
      </c>
      <c r="H35" s="55" t="s">
        <v>254</v>
      </c>
      <c r="I35" s="57">
        <v>202110016067139</v>
      </c>
      <c r="J35" s="45" t="s">
        <v>255</v>
      </c>
      <c r="K35" s="66">
        <v>0</v>
      </c>
      <c r="L35" s="58" t="s">
        <v>256</v>
      </c>
      <c r="M35" s="67">
        <v>0</v>
      </c>
      <c r="N35" s="62"/>
    </row>
    <row r="36" spans="1:14" s="61" customFormat="1">
      <c r="A36" s="55">
        <v>30</v>
      </c>
      <c r="B36" s="40" t="s">
        <v>124</v>
      </c>
      <c r="C36" s="65"/>
      <c r="D36" s="56" t="s">
        <v>257</v>
      </c>
      <c r="E36" s="40" t="s">
        <v>126</v>
      </c>
      <c r="F36" s="59" t="s">
        <v>218</v>
      </c>
      <c r="G36" s="55">
        <v>1</v>
      </c>
      <c r="H36" s="55" t="s">
        <v>257</v>
      </c>
      <c r="I36" s="57">
        <v>202110016067140</v>
      </c>
      <c r="J36" s="45" t="s">
        <v>255</v>
      </c>
      <c r="K36" s="58" t="s">
        <v>258</v>
      </c>
      <c r="L36" s="58" t="s">
        <v>256</v>
      </c>
      <c r="M36" s="59" t="s">
        <v>259</v>
      </c>
      <c r="N36" s="62"/>
    </row>
    <row r="37" spans="1:14" s="61" customFormat="1">
      <c r="A37" s="55">
        <v>31</v>
      </c>
      <c r="B37" s="40" t="s">
        <v>124</v>
      </c>
      <c r="C37" s="65"/>
      <c r="D37" s="56" t="s">
        <v>260</v>
      </c>
      <c r="E37" s="40" t="s">
        <v>126</v>
      </c>
      <c r="F37" s="59" t="s">
        <v>261</v>
      </c>
      <c r="G37" s="55">
        <v>1</v>
      </c>
      <c r="H37" s="55" t="s">
        <v>260</v>
      </c>
      <c r="I37" s="57">
        <v>202111047066579</v>
      </c>
      <c r="J37" s="45" t="s">
        <v>262</v>
      </c>
      <c r="K37" s="58" t="s">
        <v>263</v>
      </c>
      <c r="L37" s="58" t="s">
        <v>256</v>
      </c>
      <c r="M37" s="59" t="s">
        <v>264</v>
      </c>
      <c r="N37" s="62"/>
    </row>
    <row r="38" spans="1:14" s="61" customFormat="1">
      <c r="A38" s="55">
        <v>32</v>
      </c>
      <c r="B38" s="59" t="s">
        <v>265</v>
      </c>
      <c r="C38" s="65"/>
      <c r="D38" s="56" t="s">
        <v>196</v>
      </c>
      <c r="E38" s="40" t="s">
        <v>266</v>
      </c>
      <c r="F38" s="59" t="s">
        <v>267</v>
      </c>
      <c r="G38" s="55">
        <v>1</v>
      </c>
      <c r="H38" s="55" t="s">
        <v>196</v>
      </c>
      <c r="I38" s="58" t="s">
        <v>268</v>
      </c>
      <c r="J38" s="45" t="s">
        <v>269</v>
      </c>
      <c r="K38" s="58" t="s">
        <v>270</v>
      </c>
      <c r="L38" s="58" t="s">
        <v>189</v>
      </c>
      <c r="M38" s="59" t="s">
        <v>271</v>
      </c>
      <c r="N38" s="60">
        <f>SUM(G38:G68)</f>
        <v>31</v>
      </c>
    </row>
    <row r="39" spans="1:14" s="61" customFormat="1">
      <c r="A39" s="55">
        <v>33</v>
      </c>
      <c r="B39" s="59" t="s">
        <v>265</v>
      </c>
      <c r="C39" s="65"/>
      <c r="D39" s="56" t="s">
        <v>191</v>
      </c>
      <c r="E39" s="40" t="s">
        <v>266</v>
      </c>
      <c r="F39" s="59" t="s">
        <v>267</v>
      </c>
      <c r="G39" s="55">
        <v>1</v>
      </c>
      <c r="H39" s="55" t="s">
        <v>191</v>
      </c>
      <c r="I39" s="58" t="s">
        <v>272</v>
      </c>
      <c r="J39" s="45" t="s">
        <v>269</v>
      </c>
      <c r="K39" s="58" t="s">
        <v>273</v>
      </c>
      <c r="L39" s="58" t="s">
        <v>274</v>
      </c>
      <c r="M39" s="59" t="s">
        <v>275</v>
      </c>
      <c r="N39" s="62"/>
    </row>
    <row r="40" spans="1:14" s="61" customFormat="1">
      <c r="A40" s="55">
        <v>34</v>
      </c>
      <c r="B40" s="59" t="s">
        <v>265</v>
      </c>
      <c r="C40" s="65"/>
      <c r="D40" s="56" t="s">
        <v>203</v>
      </c>
      <c r="E40" s="40" t="s">
        <v>266</v>
      </c>
      <c r="F40" s="59" t="s">
        <v>267</v>
      </c>
      <c r="G40" s="55">
        <v>1</v>
      </c>
      <c r="H40" s="55" t="s">
        <v>203</v>
      </c>
      <c r="I40" s="58" t="s">
        <v>276</v>
      </c>
      <c r="J40" s="45" t="s">
        <v>269</v>
      </c>
      <c r="K40" s="58" t="s">
        <v>277</v>
      </c>
      <c r="L40" s="58" t="s">
        <v>189</v>
      </c>
      <c r="M40" s="59" t="s">
        <v>278</v>
      </c>
      <c r="N40" s="62"/>
    </row>
    <row r="41" spans="1:14" s="61" customFormat="1">
      <c r="A41" s="55">
        <v>35</v>
      </c>
      <c r="B41" s="59" t="s">
        <v>265</v>
      </c>
      <c r="C41" s="65"/>
      <c r="D41" s="56" t="s">
        <v>168</v>
      </c>
      <c r="E41" s="40" t="s">
        <v>266</v>
      </c>
      <c r="F41" s="59" t="s">
        <v>267</v>
      </c>
      <c r="G41" s="55">
        <v>1</v>
      </c>
      <c r="H41" s="55" t="s">
        <v>168</v>
      </c>
      <c r="I41" s="58" t="s">
        <v>279</v>
      </c>
      <c r="J41" s="45" t="s">
        <v>269</v>
      </c>
      <c r="K41" s="58" t="s">
        <v>280</v>
      </c>
      <c r="L41" s="58" t="s">
        <v>189</v>
      </c>
      <c r="M41" s="59" t="s">
        <v>281</v>
      </c>
      <c r="N41" s="62"/>
    </row>
    <row r="42" spans="1:14" s="61" customFormat="1">
      <c r="A42" s="55">
        <v>36</v>
      </c>
      <c r="B42" s="59" t="s">
        <v>265</v>
      </c>
      <c r="C42" s="65"/>
      <c r="D42" s="56" t="s">
        <v>217</v>
      </c>
      <c r="E42" s="40" t="s">
        <v>266</v>
      </c>
      <c r="F42" s="59" t="s">
        <v>267</v>
      </c>
      <c r="G42" s="55">
        <v>1</v>
      </c>
      <c r="H42" s="55" t="s">
        <v>217</v>
      </c>
      <c r="I42" s="58" t="s">
        <v>282</v>
      </c>
      <c r="J42" s="45" t="s">
        <v>269</v>
      </c>
      <c r="K42" s="58" t="s">
        <v>283</v>
      </c>
      <c r="L42" s="58" t="s">
        <v>220</v>
      </c>
      <c r="M42" s="59" t="s">
        <v>284</v>
      </c>
      <c r="N42" s="62"/>
    </row>
    <row r="43" spans="1:14" s="61" customFormat="1">
      <c r="A43" s="55">
        <v>37</v>
      </c>
      <c r="B43" s="59" t="s">
        <v>265</v>
      </c>
      <c r="C43" s="65"/>
      <c r="D43" s="56" t="s">
        <v>125</v>
      </c>
      <c r="E43" s="40" t="s">
        <v>266</v>
      </c>
      <c r="F43" s="59" t="s">
        <v>267</v>
      </c>
      <c r="G43" s="55">
        <v>1</v>
      </c>
      <c r="H43" s="55" t="s">
        <v>125</v>
      </c>
      <c r="I43" s="58" t="s">
        <v>285</v>
      </c>
      <c r="J43" s="45" t="s">
        <v>286</v>
      </c>
      <c r="K43" s="58" t="s">
        <v>287</v>
      </c>
      <c r="L43" s="58" t="s">
        <v>288</v>
      </c>
      <c r="M43" s="59" t="s">
        <v>289</v>
      </c>
      <c r="N43" s="62"/>
    </row>
    <row r="44" spans="1:14" s="61" customFormat="1">
      <c r="A44" s="55">
        <v>38</v>
      </c>
      <c r="B44" s="59" t="s">
        <v>265</v>
      </c>
      <c r="C44" s="65"/>
      <c r="D44" s="56" t="s">
        <v>222</v>
      </c>
      <c r="E44" s="40" t="s">
        <v>266</v>
      </c>
      <c r="F44" s="59" t="s">
        <v>267</v>
      </c>
      <c r="G44" s="55">
        <v>1</v>
      </c>
      <c r="H44" s="55" t="s">
        <v>222</v>
      </c>
      <c r="I44" s="58" t="s">
        <v>290</v>
      </c>
      <c r="J44" s="45" t="s">
        <v>269</v>
      </c>
      <c r="K44" s="58" t="s">
        <v>291</v>
      </c>
      <c r="L44" s="58" t="s">
        <v>220</v>
      </c>
      <c r="M44" s="59" t="s">
        <v>292</v>
      </c>
      <c r="N44" s="62"/>
    </row>
    <row r="45" spans="1:14" s="61" customFormat="1">
      <c r="A45" s="55">
        <v>39</v>
      </c>
      <c r="B45" s="59" t="s">
        <v>265</v>
      </c>
      <c r="C45" s="65"/>
      <c r="D45" s="56" t="s">
        <v>225</v>
      </c>
      <c r="E45" s="40" t="s">
        <v>266</v>
      </c>
      <c r="F45" s="59" t="s">
        <v>267</v>
      </c>
      <c r="G45" s="55">
        <v>1</v>
      </c>
      <c r="H45" s="55" t="s">
        <v>225</v>
      </c>
      <c r="I45" s="58" t="s">
        <v>293</v>
      </c>
      <c r="J45" s="45" t="s">
        <v>269</v>
      </c>
      <c r="K45" s="58" t="s">
        <v>294</v>
      </c>
      <c r="L45" s="58" t="s">
        <v>220</v>
      </c>
      <c r="M45" s="59" t="s">
        <v>295</v>
      </c>
      <c r="N45" s="62"/>
    </row>
    <row r="46" spans="1:14" s="61" customFormat="1">
      <c r="A46" s="55">
        <v>40</v>
      </c>
      <c r="B46" s="59" t="s">
        <v>265</v>
      </c>
      <c r="C46" s="65"/>
      <c r="D46" s="56" t="s">
        <v>174</v>
      </c>
      <c r="E46" s="40" t="s">
        <v>266</v>
      </c>
      <c r="F46" s="59" t="s">
        <v>296</v>
      </c>
      <c r="G46" s="55">
        <v>1</v>
      </c>
      <c r="H46" s="55" t="s">
        <v>174</v>
      </c>
      <c r="I46" s="58" t="s">
        <v>297</v>
      </c>
      <c r="J46" s="45" t="s">
        <v>269</v>
      </c>
      <c r="K46" s="58" t="s">
        <v>298</v>
      </c>
      <c r="L46" s="58" t="s">
        <v>178</v>
      </c>
      <c r="M46" s="59" t="s">
        <v>299</v>
      </c>
      <c r="N46" s="62"/>
    </row>
    <row r="47" spans="1:14" s="61" customFormat="1">
      <c r="A47" s="55">
        <v>41</v>
      </c>
      <c r="B47" s="59" t="s">
        <v>265</v>
      </c>
      <c r="C47" s="65"/>
      <c r="D47" s="56" t="s">
        <v>137</v>
      </c>
      <c r="E47" s="40" t="s">
        <v>266</v>
      </c>
      <c r="F47" s="59" t="s">
        <v>296</v>
      </c>
      <c r="G47" s="55">
        <v>1</v>
      </c>
      <c r="H47" s="55" t="s">
        <v>137</v>
      </c>
      <c r="I47" s="58" t="s">
        <v>300</v>
      </c>
      <c r="J47" s="45" t="s">
        <v>286</v>
      </c>
      <c r="K47" s="58" t="s">
        <v>301</v>
      </c>
      <c r="L47" s="58" t="s">
        <v>288</v>
      </c>
      <c r="M47" s="59" t="s">
        <v>302</v>
      </c>
      <c r="N47" s="62"/>
    </row>
    <row r="48" spans="1:14" s="61" customFormat="1">
      <c r="A48" s="55">
        <v>42</v>
      </c>
      <c r="B48" s="59" t="s">
        <v>265</v>
      </c>
      <c r="C48" s="65"/>
      <c r="D48" s="56" t="s">
        <v>240</v>
      </c>
      <c r="E48" s="40" t="s">
        <v>266</v>
      </c>
      <c r="F48" s="59" t="s">
        <v>296</v>
      </c>
      <c r="G48" s="55">
        <v>1</v>
      </c>
      <c r="H48" s="55" t="s">
        <v>240</v>
      </c>
      <c r="I48" s="58" t="s">
        <v>303</v>
      </c>
      <c r="J48" s="45" t="s">
        <v>269</v>
      </c>
      <c r="K48" s="58" t="s">
        <v>304</v>
      </c>
      <c r="L48" s="58" t="s">
        <v>220</v>
      </c>
      <c r="M48" s="59" t="s">
        <v>305</v>
      </c>
      <c r="N48" s="62"/>
    </row>
    <row r="49" spans="1:14" s="61" customFormat="1">
      <c r="A49" s="55">
        <v>43</v>
      </c>
      <c r="B49" s="59" t="s">
        <v>265</v>
      </c>
      <c r="C49" s="65"/>
      <c r="D49" s="56" t="s">
        <v>228</v>
      </c>
      <c r="E49" s="40" t="s">
        <v>266</v>
      </c>
      <c r="F49" s="59" t="s">
        <v>296</v>
      </c>
      <c r="G49" s="55">
        <v>1</v>
      </c>
      <c r="H49" s="55" t="s">
        <v>228</v>
      </c>
      <c r="I49" s="58" t="s">
        <v>306</v>
      </c>
      <c r="J49" s="45" t="s">
        <v>269</v>
      </c>
      <c r="K49" s="58" t="s">
        <v>307</v>
      </c>
      <c r="L49" s="58" t="s">
        <v>232</v>
      </c>
      <c r="M49" s="59" t="s">
        <v>308</v>
      </c>
      <c r="N49" s="62"/>
    </row>
    <row r="50" spans="1:14" s="61" customFormat="1">
      <c r="A50" s="55">
        <v>44</v>
      </c>
      <c r="B50" s="59" t="s">
        <v>265</v>
      </c>
      <c r="C50" s="65"/>
      <c r="D50" s="56" t="s">
        <v>234</v>
      </c>
      <c r="E50" s="40" t="s">
        <v>266</v>
      </c>
      <c r="F50" s="59" t="s">
        <v>296</v>
      </c>
      <c r="G50" s="55">
        <v>1</v>
      </c>
      <c r="H50" s="55" t="s">
        <v>234</v>
      </c>
      <c r="I50" s="58" t="s">
        <v>303</v>
      </c>
      <c r="J50" s="45" t="s">
        <v>269</v>
      </c>
      <c r="K50" s="58" t="s">
        <v>309</v>
      </c>
      <c r="L50" s="58" t="s">
        <v>220</v>
      </c>
      <c r="M50" s="59" t="s">
        <v>310</v>
      </c>
      <c r="N50" s="62"/>
    </row>
    <row r="51" spans="1:14" s="61" customFormat="1">
      <c r="A51" s="55">
        <v>45</v>
      </c>
      <c r="B51" s="59" t="s">
        <v>265</v>
      </c>
      <c r="C51" s="65"/>
      <c r="D51" s="56" t="s">
        <v>237</v>
      </c>
      <c r="E51" s="40" t="s">
        <v>266</v>
      </c>
      <c r="F51" s="59" t="s">
        <v>296</v>
      </c>
      <c r="G51" s="55">
        <v>1</v>
      </c>
      <c r="H51" s="55" t="s">
        <v>237</v>
      </c>
      <c r="I51" s="58" t="s">
        <v>311</v>
      </c>
      <c r="J51" s="45" t="s">
        <v>269</v>
      </c>
      <c r="K51" s="58" t="s">
        <v>312</v>
      </c>
      <c r="L51" s="58" t="s">
        <v>220</v>
      </c>
      <c r="M51" s="59" t="s">
        <v>313</v>
      </c>
      <c r="N51" s="62"/>
    </row>
    <row r="52" spans="1:14" s="61" customFormat="1">
      <c r="A52" s="55">
        <v>46</v>
      </c>
      <c r="B52" s="59" t="s">
        <v>265</v>
      </c>
      <c r="C52" s="65"/>
      <c r="D52" s="56" t="s">
        <v>251</v>
      </c>
      <c r="E52" s="40" t="s">
        <v>266</v>
      </c>
      <c r="F52" s="59" t="s">
        <v>296</v>
      </c>
      <c r="G52" s="55">
        <v>1</v>
      </c>
      <c r="H52" s="55" t="s">
        <v>251</v>
      </c>
      <c r="I52" s="58" t="s">
        <v>314</v>
      </c>
      <c r="J52" s="45" t="s">
        <v>269</v>
      </c>
      <c r="K52" s="58" t="s">
        <v>315</v>
      </c>
      <c r="L52" s="58" t="s">
        <v>220</v>
      </c>
      <c r="M52" s="59" t="s">
        <v>316</v>
      </c>
      <c r="N52" s="62"/>
    </row>
    <row r="53" spans="1:14" s="61" customFormat="1">
      <c r="A53" s="55">
        <v>47</v>
      </c>
      <c r="B53" s="59" t="s">
        <v>265</v>
      </c>
      <c r="C53" s="65"/>
      <c r="D53" s="56" t="s">
        <v>186</v>
      </c>
      <c r="E53" s="40" t="s">
        <v>266</v>
      </c>
      <c r="F53" s="59" t="s">
        <v>296</v>
      </c>
      <c r="G53" s="55">
        <v>1</v>
      </c>
      <c r="H53" s="55" t="s">
        <v>186</v>
      </c>
      <c r="I53" s="58" t="s">
        <v>317</v>
      </c>
      <c r="J53" s="45" t="s">
        <v>269</v>
      </c>
      <c r="K53" s="58" t="s">
        <v>318</v>
      </c>
      <c r="L53" s="58" t="s">
        <v>319</v>
      </c>
      <c r="M53" s="59" t="s">
        <v>320</v>
      </c>
      <c r="N53" s="62"/>
    </row>
    <row r="54" spans="1:14" s="61" customFormat="1">
      <c r="A54" s="55">
        <v>48</v>
      </c>
      <c r="B54" s="59" t="s">
        <v>265</v>
      </c>
      <c r="C54" s="65"/>
      <c r="D54" s="56" t="s">
        <v>260</v>
      </c>
      <c r="E54" s="40" t="s">
        <v>266</v>
      </c>
      <c r="F54" s="59" t="s">
        <v>321</v>
      </c>
      <c r="G54" s="55">
        <v>1</v>
      </c>
      <c r="H54" s="55" t="s">
        <v>260</v>
      </c>
      <c r="I54" s="58" t="s">
        <v>322</v>
      </c>
      <c r="J54" s="45" t="s">
        <v>323</v>
      </c>
      <c r="K54" s="58" t="s">
        <v>324</v>
      </c>
      <c r="L54" s="58" t="s">
        <v>256</v>
      </c>
      <c r="M54" s="59" t="s">
        <v>325</v>
      </c>
      <c r="N54" s="62"/>
    </row>
    <row r="55" spans="1:14" s="61" customFormat="1">
      <c r="A55" s="55">
        <v>49</v>
      </c>
      <c r="B55" s="59" t="s">
        <v>265</v>
      </c>
      <c r="C55" s="65"/>
      <c r="D55" s="56" t="s">
        <v>142</v>
      </c>
      <c r="E55" s="40" t="s">
        <v>266</v>
      </c>
      <c r="F55" s="59" t="s">
        <v>321</v>
      </c>
      <c r="G55" s="55">
        <v>1</v>
      </c>
      <c r="H55" s="55" t="s">
        <v>142</v>
      </c>
      <c r="I55" s="58" t="s">
        <v>326</v>
      </c>
      <c r="J55" s="45" t="s">
        <v>269</v>
      </c>
      <c r="K55" s="58" t="s">
        <v>327</v>
      </c>
      <c r="L55" s="58" t="s">
        <v>146</v>
      </c>
      <c r="M55" s="59" t="s">
        <v>328</v>
      </c>
      <c r="N55" s="62"/>
    </row>
    <row r="56" spans="1:14" s="61" customFormat="1">
      <c r="A56" s="55">
        <v>50</v>
      </c>
      <c r="B56" s="59" t="s">
        <v>265</v>
      </c>
      <c r="C56" s="65"/>
      <c r="D56" s="56" t="s">
        <v>158</v>
      </c>
      <c r="E56" s="40" t="s">
        <v>266</v>
      </c>
      <c r="F56" s="59" t="s">
        <v>321</v>
      </c>
      <c r="G56" s="55">
        <v>1</v>
      </c>
      <c r="H56" s="55" t="s">
        <v>158</v>
      </c>
      <c r="I56" s="58" t="s">
        <v>329</v>
      </c>
      <c r="J56" s="45" t="s">
        <v>269</v>
      </c>
      <c r="K56" s="58" t="s">
        <v>330</v>
      </c>
      <c r="L56" s="58" t="s">
        <v>146</v>
      </c>
      <c r="M56" s="59" t="s">
        <v>331</v>
      </c>
      <c r="N56" s="62"/>
    </row>
    <row r="57" spans="1:14" s="61" customFormat="1">
      <c r="A57" s="55">
        <v>51</v>
      </c>
      <c r="B57" s="59" t="s">
        <v>265</v>
      </c>
      <c r="C57" s="65"/>
      <c r="D57" s="56" t="s">
        <v>161</v>
      </c>
      <c r="E57" s="40" t="s">
        <v>266</v>
      </c>
      <c r="F57" s="59" t="s">
        <v>321</v>
      </c>
      <c r="G57" s="55">
        <v>1</v>
      </c>
      <c r="H57" s="55" t="s">
        <v>161</v>
      </c>
      <c r="I57" s="58" t="s">
        <v>332</v>
      </c>
      <c r="J57" s="45" t="s">
        <v>286</v>
      </c>
      <c r="K57" s="58" t="s">
        <v>333</v>
      </c>
      <c r="L57" s="58" t="s">
        <v>288</v>
      </c>
      <c r="M57" s="59" t="s">
        <v>334</v>
      </c>
      <c r="N57" s="62"/>
    </row>
    <row r="58" spans="1:14" s="61" customFormat="1">
      <c r="A58" s="55">
        <v>52</v>
      </c>
      <c r="B58" s="59" t="s">
        <v>265</v>
      </c>
      <c r="C58" s="65"/>
      <c r="D58" s="56" t="s">
        <v>164</v>
      </c>
      <c r="E58" s="40" t="s">
        <v>266</v>
      </c>
      <c r="F58" s="59" t="s">
        <v>321</v>
      </c>
      <c r="G58" s="55">
        <v>1</v>
      </c>
      <c r="H58" s="55" t="s">
        <v>164</v>
      </c>
      <c r="I58" s="58" t="s">
        <v>335</v>
      </c>
      <c r="J58" s="45" t="s">
        <v>269</v>
      </c>
      <c r="K58" s="58" t="s">
        <v>336</v>
      </c>
      <c r="L58" s="58" t="s">
        <v>166</v>
      </c>
      <c r="M58" s="59" t="s">
        <v>337</v>
      </c>
      <c r="N58" s="62"/>
    </row>
    <row r="59" spans="1:14" s="61" customFormat="1">
      <c r="A59" s="55">
        <v>53</v>
      </c>
      <c r="B59" s="59" t="s">
        <v>265</v>
      </c>
      <c r="C59" s="65"/>
      <c r="D59" s="56" t="s">
        <v>244</v>
      </c>
      <c r="E59" s="40" t="s">
        <v>266</v>
      </c>
      <c r="F59" s="59" t="s">
        <v>321</v>
      </c>
      <c r="G59" s="55">
        <v>1</v>
      </c>
      <c r="H59" s="55" t="s">
        <v>244</v>
      </c>
      <c r="I59" s="58" t="s">
        <v>338</v>
      </c>
      <c r="J59" s="45" t="s">
        <v>269</v>
      </c>
      <c r="K59" s="58" t="s">
        <v>339</v>
      </c>
      <c r="L59" s="58" t="s">
        <v>220</v>
      </c>
      <c r="M59" s="59" t="s">
        <v>340</v>
      </c>
      <c r="N59" s="62"/>
    </row>
    <row r="60" spans="1:14" s="61" customFormat="1">
      <c r="A60" s="55">
        <v>54</v>
      </c>
      <c r="B60" s="59" t="s">
        <v>265</v>
      </c>
      <c r="C60" s="65"/>
      <c r="D60" s="56" t="s">
        <v>248</v>
      </c>
      <c r="E60" s="40" t="s">
        <v>266</v>
      </c>
      <c r="F60" s="59" t="s">
        <v>321</v>
      </c>
      <c r="G60" s="55">
        <v>1</v>
      </c>
      <c r="H60" s="55" t="s">
        <v>248</v>
      </c>
      <c r="I60" s="58" t="s">
        <v>341</v>
      </c>
      <c r="J60" s="45" t="s">
        <v>269</v>
      </c>
      <c r="K60" s="58" t="s">
        <v>342</v>
      </c>
      <c r="L60" s="58" t="s">
        <v>220</v>
      </c>
      <c r="M60" s="59" t="s">
        <v>343</v>
      </c>
      <c r="N60" s="62"/>
    </row>
    <row r="61" spans="1:14" s="61" customFormat="1">
      <c r="A61" s="55">
        <v>55</v>
      </c>
      <c r="B61" s="59" t="s">
        <v>265</v>
      </c>
      <c r="C61" s="65"/>
      <c r="D61" s="56" t="s">
        <v>148</v>
      </c>
      <c r="E61" s="40" t="s">
        <v>266</v>
      </c>
      <c r="F61" s="59" t="s">
        <v>344</v>
      </c>
      <c r="G61" s="55">
        <v>1</v>
      </c>
      <c r="H61" s="55" t="s">
        <v>148</v>
      </c>
      <c r="I61" s="58" t="s">
        <v>345</v>
      </c>
      <c r="J61" s="45" t="s">
        <v>286</v>
      </c>
      <c r="K61" s="58" t="s">
        <v>346</v>
      </c>
      <c r="L61" s="58" t="s">
        <v>288</v>
      </c>
      <c r="M61" s="59" t="s">
        <v>347</v>
      </c>
      <c r="N61" s="62"/>
    </row>
    <row r="62" spans="1:14" s="61" customFormat="1">
      <c r="A62" s="55">
        <v>56</v>
      </c>
      <c r="B62" s="59" t="s">
        <v>265</v>
      </c>
      <c r="C62" s="65"/>
      <c r="D62" s="56" t="s">
        <v>153</v>
      </c>
      <c r="E62" s="40" t="s">
        <v>266</v>
      </c>
      <c r="F62" s="59" t="s">
        <v>344</v>
      </c>
      <c r="G62" s="55">
        <v>1</v>
      </c>
      <c r="H62" s="55" t="s">
        <v>153</v>
      </c>
      <c r="I62" s="58" t="s">
        <v>348</v>
      </c>
      <c r="J62" s="45" t="s">
        <v>286</v>
      </c>
      <c r="K62" s="58" t="s">
        <v>349</v>
      </c>
      <c r="L62" s="58" t="s">
        <v>288</v>
      </c>
      <c r="M62" s="59" t="s">
        <v>350</v>
      </c>
      <c r="N62" s="62"/>
    </row>
    <row r="63" spans="1:14" s="61" customFormat="1">
      <c r="A63" s="55">
        <v>57</v>
      </c>
      <c r="B63" s="59" t="s">
        <v>265</v>
      </c>
      <c r="C63" s="65"/>
      <c r="D63" s="56" t="s">
        <v>212</v>
      </c>
      <c r="E63" s="40" t="s">
        <v>266</v>
      </c>
      <c r="F63" s="59" t="s">
        <v>351</v>
      </c>
      <c r="G63" s="55">
        <v>1</v>
      </c>
      <c r="H63" s="55" t="s">
        <v>212</v>
      </c>
      <c r="I63" s="58" t="s">
        <v>352</v>
      </c>
      <c r="J63" s="45" t="s">
        <v>269</v>
      </c>
      <c r="K63" s="58" t="s">
        <v>353</v>
      </c>
      <c r="L63" s="58" t="s">
        <v>189</v>
      </c>
      <c r="M63" s="59" t="s">
        <v>354</v>
      </c>
      <c r="N63" s="62"/>
    </row>
    <row r="64" spans="1:14" s="61" customFormat="1">
      <c r="A64" s="55">
        <v>58</v>
      </c>
      <c r="B64" s="59" t="s">
        <v>265</v>
      </c>
      <c r="C64" s="65"/>
      <c r="D64" s="56" t="s">
        <v>180</v>
      </c>
      <c r="E64" s="40" t="s">
        <v>355</v>
      </c>
      <c r="F64" s="59" t="s">
        <v>356</v>
      </c>
      <c r="G64" s="55">
        <v>1</v>
      </c>
      <c r="H64" s="55" t="s">
        <v>180</v>
      </c>
      <c r="I64" s="58">
        <v>201909003530006</v>
      </c>
      <c r="J64" s="45" t="s">
        <v>269</v>
      </c>
      <c r="K64" s="58" t="s">
        <v>357</v>
      </c>
      <c r="L64" s="58" t="s">
        <v>184</v>
      </c>
      <c r="M64" s="59" t="s">
        <v>358</v>
      </c>
      <c r="N64" s="62"/>
    </row>
    <row r="65" spans="1:14" s="61" customFormat="1">
      <c r="A65" s="55">
        <v>59</v>
      </c>
      <c r="B65" s="59" t="s">
        <v>265</v>
      </c>
      <c r="C65" s="65"/>
      <c r="D65" s="56" t="s">
        <v>132</v>
      </c>
      <c r="E65" s="40" t="s">
        <v>266</v>
      </c>
      <c r="F65" s="59" t="s">
        <v>296</v>
      </c>
      <c r="G65" s="55">
        <v>1</v>
      </c>
      <c r="H65" s="55" t="s">
        <v>132</v>
      </c>
      <c r="I65" s="58" t="s">
        <v>359</v>
      </c>
      <c r="J65" s="45" t="s">
        <v>286</v>
      </c>
      <c r="K65" s="58" t="s">
        <v>360</v>
      </c>
      <c r="L65" s="58" t="s">
        <v>288</v>
      </c>
      <c r="M65" s="59" t="s">
        <v>361</v>
      </c>
      <c r="N65" s="62"/>
    </row>
    <row r="66" spans="1:14" s="61" customFormat="1">
      <c r="A66" s="55">
        <v>60</v>
      </c>
      <c r="B66" s="59" t="s">
        <v>265</v>
      </c>
      <c r="C66" s="65"/>
      <c r="D66" s="56" t="s">
        <v>207</v>
      </c>
      <c r="E66" s="40" t="s">
        <v>266</v>
      </c>
      <c r="F66" s="59" t="s">
        <v>321</v>
      </c>
      <c r="G66" s="55">
        <v>1</v>
      </c>
      <c r="H66" s="55" t="s">
        <v>207</v>
      </c>
      <c r="I66" s="58" t="s">
        <v>362</v>
      </c>
      <c r="J66" s="45" t="s">
        <v>269</v>
      </c>
      <c r="K66" s="58" t="s">
        <v>363</v>
      </c>
      <c r="L66" s="58" t="s">
        <v>189</v>
      </c>
      <c r="M66" s="59" t="s">
        <v>364</v>
      </c>
      <c r="N66" s="62"/>
    </row>
    <row r="67" spans="1:14" s="61" customFormat="1">
      <c r="A67" s="55">
        <v>61</v>
      </c>
      <c r="B67" s="59" t="s">
        <v>265</v>
      </c>
      <c r="C67" s="65"/>
      <c r="D67" s="56" t="s">
        <v>254</v>
      </c>
      <c r="E67" s="40" t="s">
        <v>266</v>
      </c>
      <c r="F67" s="59" t="s">
        <v>267</v>
      </c>
      <c r="G67" s="55">
        <v>1</v>
      </c>
      <c r="H67" s="55" t="s">
        <v>254</v>
      </c>
      <c r="I67" s="58" t="s">
        <v>365</v>
      </c>
      <c r="J67" s="45" t="s">
        <v>366</v>
      </c>
      <c r="K67" s="66">
        <v>0</v>
      </c>
      <c r="L67" s="58" t="s">
        <v>220</v>
      </c>
      <c r="M67" s="67">
        <v>0</v>
      </c>
      <c r="N67" s="62"/>
    </row>
    <row r="68" spans="1:14" s="61" customFormat="1">
      <c r="A68" s="55">
        <v>62</v>
      </c>
      <c r="B68" s="59" t="s">
        <v>265</v>
      </c>
      <c r="C68" s="65"/>
      <c r="D68" s="56" t="s">
        <v>257</v>
      </c>
      <c r="E68" s="40" t="s">
        <v>266</v>
      </c>
      <c r="F68" s="59" t="s">
        <v>267</v>
      </c>
      <c r="G68" s="55">
        <v>1</v>
      </c>
      <c r="H68" s="55" t="s">
        <v>257</v>
      </c>
      <c r="I68" s="58" t="s">
        <v>367</v>
      </c>
      <c r="J68" s="45" t="s">
        <v>366</v>
      </c>
      <c r="K68" s="66">
        <v>0</v>
      </c>
      <c r="L68" s="58" t="s">
        <v>220</v>
      </c>
      <c r="M68" s="67">
        <v>0</v>
      </c>
      <c r="N68" s="62"/>
    </row>
    <row r="69" spans="1:14" s="61" customFormat="1">
      <c r="A69" s="55">
        <v>63</v>
      </c>
      <c r="B69" s="40" t="s">
        <v>368</v>
      </c>
      <c r="C69" s="47"/>
      <c r="D69" s="56" t="s">
        <v>174</v>
      </c>
      <c r="E69" s="40" t="s">
        <v>369</v>
      </c>
      <c r="F69" s="59" t="s">
        <v>370</v>
      </c>
      <c r="G69" s="55">
        <v>1</v>
      </c>
      <c r="H69" s="55" t="s">
        <v>174</v>
      </c>
      <c r="I69" s="58" t="s">
        <v>371</v>
      </c>
      <c r="J69" s="45" t="s">
        <v>372</v>
      </c>
      <c r="K69" s="58" t="s">
        <v>373</v>
      </c>
      <c r="L69" s="58" t="s">
        <v>374</v>
      </c>
      <c r="M69" s="59" t="s">
        <v>375</v>
      </c>
      <c r="N69" s="60">
        <f>SUM(G69:G97)</f>
        <v>29</v>
      </c>
    </row>
    <row r="70" spans="1:14" s="61" customFormat="1">
      <c r="A70" s="55">
        <v>64</v>
      </c>
      <c r="B70" s="40" t="s">
        <v>368</v>
      </c>
      <c r="C70" s="47"/>
      <c r="D70" s="56" t="s">
        <v>161</v>
      </c>
      <c r="E70" s="40" t="s">
        <v>369</v>
      </c>
      <c r="F70" s="59" t="s">
        <v>370</v>
      </c>
      <c r="G70" s="55">
        <v>1</v>
      </c>
      <c r="H70" s="55" t="s">
        <v>161</v>
      </c>
      <c r="I70" s="58" t="s">
        <v>376</v>
      </c>
      <c r="J70" s="45" t="s">
        <v>372</v>
      </c>
      <c r="K70" s="58" t="s">
        <v>373</v>
      </c>
      <c r="L70" s="58" t="s">
        <v>374</v>
      </c>
      <c r="M70" s="59" t="s">
        <v>375</v>
      </c>
      <c r="N70" s="62"/>
    </row>
    <row r="71" spans="1:14" s="61" customFormat="1">
      <c r="A71" s="55">
        <v>65</v>
      </c>
      <c r="B71" s="40" t="s">
        <v>368</v>
      </c>
      <c r="C71" s="47"/>
      <c r="D71" s="56" t="s">
        <v>142</v>
      </c>
      <c r="E71" s="40" t="s">
        <v>369</v>
      </c>
      <c r="F71" s="59" t="s">
        <v>370</v>
      </c>
      <c r="G71" s="55">
        <v>1</v>
      </c>
      <c r="H71" s="55" t="s">
        <v>142</v>
      </c>
      <c r="I71" s="58" t="s">
        <v>377</v>
      </c>
      <c r="J71" s="45" t="s">
        <v>372</v>
      </c>
      <c r="K71" s="58" t="s">
        <v>373</v>
      </c>
      <c r="L71" s="58" t="s">
        <v>374</v>
      </c>
      <c r="M71" s="59" t="s">
        <v>375</v>
      </c>
      <c r="N71" s="62"/>
    </row>
    <row r="72" spans="1:14" s="61" customFormat="1">
      <c r="A72" s="55">
        <v>66</v>
      </c>
      <c r="B72" s="40" t="s">
        <v>368</v>
      </c>
      <c r="C72" s="47"/>
      <c r="D72" s="56" t="s">
        <v>153</v>
      </c>
      <c r="E72" s="40" t="s">
        <v>369</v>
      </c>
      <c r="F72" s="59" t="s">
        <v>378</v>
      </c>
      <c r="G72" s="55">
        <v>1</v>
      </c>
      <c r="H72" s="55" t="s">
        <v>153</v>
      </c>
      <c r="I72" s="58" t="s">
        <v>379</v>
      </c>
      <c r="J72" s="45" t="s">
        <v>372</v>
      </c>
      <c r="K72" s="58" t="s">
        <v>380</v>
      </c>
      <c r="L72" s="58" t="s">
        <v>374</v>
      </c>
      <c r="M72" s="59" t="s">
        <v>381</v>
      </c>
      <c r="N72" s="62"/>
    </row>
    <row r="73" spans="1:14" s="61" customFormat="1">
      <c r="A73" s="55">
        <v>67</v>
      </c>
      <c r="B73" s="40" t="s">
        <v>368</v>
      </c>
      <c r="C73" s="47"/>
      <c r="D73" s="56" t="s">
        <v>148</v>
      </c>
      <c r="E73" s="40" t="s">
        <v>369</v>
      </c>
      <c r="F73" s="59" t="s">
        <v>378</v>
      </c>
      <c r="G73" s="55">
        <v>1</v>
      </c>
      <c r="H73" s="55" t="s">
        <v>148</v>
      </c>
      <c r="I73" s="58" t="s">
        <v>382</v>
      </c>
      <c r="J73" s="45" t="s">
        <v>372</v>
      </c>
      <c r="K73" s="58" t="s">
        <v>383</v>
      </c>
      <c r="L73" s="58" t="s">
        <v>374</v>
      </c>
      <c r="M73" s="59" t="s">
        <v>384</v>
      </c>
      <c r="N73" s="62"/>
    </row>
    <row r="74" spans="1:14" s="61" customFormat="1">
      <c r="A74" s="55">
        <v>68</v>
      </c>
      <c r="B74" s="40" t="s">
        <v>368</v>
      </c>
      <c r="C74" s="47"/>
      <c r="D74" s="56" t="s">
        <v>137</v>
      </c>
      <c r="E74" s="40" t="s">
        <v>369</v>
      </c>
      <c r="F74" s="59" t="s">
        <v>370</v>
      </c>
      <c r="G74" s="55">
        <v>1</v>
      </c>
      <c r="H74" s="55" t="s">
        <v>137</v>
      </c>
      <c r="I74" s="58" t="s">
        <v>385</v>
      </c>
      <c r="J74" s="45" t="s">
        <v>372</v>
      </c>
      <c r="K74" s="58" t="s">
        <v>386</v>
      </c>
      <c r="L74" s="58" t="s">
        <v>374</v>
      </c>
      <c r="M74" s="59" t="s">
        <v>387</v>
      </c>
      <c r="N74" s="62"/>
    </row>
    <row r="75" spans="1:14" s="61" customFormat="1">
      <c r="A75" s="55">
        <v>69</v>
      </c>
      <c r="B75" s="40" t="s">
        <v>368</v>
      </c>
      <c r="C75" s="47"/>
      <c r="D75" s="56" t="s">
        <v>132</v>
      </c>
      <c r="E75" s="40" t="s">
        <v>369</v>
      </c>
      <c r="F75" s="59" t="s">
        <v>370</v>
      </c>
      <c r="G75" s="55">
        <v>1</v>
      </c>
      <c r="H75" s="55" t="s">
        <v>132</v>
      </c>
      <c r="I75" s="58" t="s">
        <v>388</v>
      </c>
      <c r="J75" s="45" t="s">
        <v>372</v>
      </c>
      <c r="K75" s="58" t="s">
        <v>389</v>
      </c>
      <c r="L75" s="58" t="s">
        <v>390</v>
      </c>
      <c r="M75" s="59" t="s">
        <v>391</v>
      </c>
      <c r="N75" s="62"/>
    </row>
    <row r="76" spans="1:14" s="61" customFormat="1">
      <c r="A76" s="55">
        <v>70</v>
      </c>
      <c r="B76" s="40" t="s">
        <v>368</v>
      </c>
      <c r="C76" s="47"/>
      <c r="D76" s="56" t="s">
        <v>158</v>
      </c>
      <c r="E76" s="40" t="s">
        <v>369</v>
      </c>
      <c r="F76" s="59" t="s">
        <v>370</v>
      </c>
      <c r="G76" s="55">
        <v>1</v>
      </c>
      <c r="H76" s="55" t="s">
        <v>158</v>
      </c>
      <c r="I76" s="58" t="s">
        <v>392</v>
      </c>
      <c r="J76" s="45" t="s">
        <v>372</v>
      </c>
      <c r="K76" s="58" t="s">
        <v>389</v>
      </c>
      <c r="L76" s="58" t="s">
        <v>390</v>
      </c>
      <c r="M76" s="59" t="s">
        <v>391</v>
      </c>
      <c r="N76" s="62"/>
    </row>
    <row r="77" spans="1:14" s="61" customFormat="1">
      <c r="A77" s="55">
        <v>71</v>
      </c>
      <c r="B77" s="40" t="s">
        <v>368</v>
      </c>
      <c r="C77" s="47"/>
      <c r="D77" s="56" t="s">
        <v>164</v>
      </c>
      <c r="E77" s="40" t="s">
        <v>369</v>
      </c>
      <c r="F77" s="59" t="s">
        <v>370</v>
      </c>
      <c r="G77" s="55">
        <v>1</v>
      </c>
      <c r="H77" s="55" t="s">
        <v>164</v>
      </c>
      <c r="I77" s="58" t="s">
        <v>393</v>
      </c>
      <c r="J77" s="45" t="s">
        <v>372</v>
      </c>
      <c r="K77" s="58" t="s">
        <v>394</v>
      </c>
      <c r="L77" s="58" t="s">
        <v>166</v>
      </c>
      <c r="M77" s="59" t="s">
        <v>395</v>
      </c>
      <c r="N77" s="62"/>
    </row>
    <row r="78" spans="1:14" s="61" customFormat="1">
      <c r="A78" s="55">
        <v>72</v>
      </c>
      <c r="B78" s="40" t="s">
        <v>368</v>
      </c>
      <c r="C78" s="47"/>
      <c r="D78" s="56" t="s">
        <v>180</v>
      </c>
      <c r="E78" s="40" t="s">
        <v>396</v>
      </c>
      <c r="F78" s="59" t="s">
        <v>397</v>
      </c>
      <c r="G78" s="55">
        <v>1</v>
      </c>
      <c r="H78" s="55" t="s">
        <v>180</v>
      </c>
      <c r="I78" s="58" t="s">
        <v>398</v>
      </c>
      <c r="J78" s="45" t="s">
        <v>399</v>
      </c>
      <c r="K78" s="58" t="s">
        <v>400</v>
      </c>
      <c r="L78" s="58" t="s">
        <v>184</v>
      </c>
      <c r="M78" s="59" t="s">
        <v>401</v>
      </c>
      <c r="N78" s="62"/>
    </row>
    <row r="79" spans="1:14" s="61" customFormat="1">
      <c r="A79" s="55">
        <v>73</v>
      </c>
      <c r="B79" s="40" t="s">
        <v>368</v>
      </c>
      <c r="C79" s="47"/>
      <c r="D79" s="56" t="s">
        <v>191</v>
      </c>
      <c r="E79" s="40" t="s">
        <v>402</v>
      </c>
      <c r="F79" s="59" t="s">
        <v>403</v>
      </c>
      <c r="G79" s="55">
        <v>1</v>
      </c>
      <c r="H79" s="55" t="s">
        <v>191</v>
      </c>
      <c r="I79" s="58" t="s">
        <v>404</v>
      </c>
      <c r="J79" s="45" t="s">
        <v>405</v>
      </c>
      <c r="K79" s="58" t="s">
        <v>406</v>
      </c>
      <c r="L79" s="58" t="s">
        <v>189</v>
      </c>
      <c r="M79" s="59" t="s">
        <v>407</v>
      </c>
      <c r="N79" s="62"/>
    </row>
    <row r="80" spans="1:14" s="61" customFormat="1">
      <c r="A80" s="55">
        <v>74</v>
      </c>
      <c r="B80" s="40" t="s">
        <v>368</v>
      </c>
      <c r="C80" s="47"/>
      <c r="D80" s="56" t="s">
        <v>203</v>
      </c>
      <c r="E80" s="40" t="s">
        <v>402</v>
      </c>
      <c r="F80" s="59" t="s">
        <v>403</v>
      </c>
      <c r="G80" s="55">
        <v>1</v>
      </c>
      <c r="H80" s="55" t="s">
        <v>203</v>
      </c>
      <c r="I80" s="58" t="s">
        <v>408</v>
      </c>
      <c r="J80" s="45" t="s">
        <v>405</v>
      </c>
      <c r="K80" s="58" t="s">
        <v>409</v>
      </c>
      <c r="L80" s="58" t="s">
        <v>189</v>
      </c>
      <c r="M80" s="59" t="s">
        <v>410</v>
      </c>
      <c r="N80" s="62"/>
    </row>
    <row r="81" spans="1:14" s="61" customFormat="1">
      <c r="A81" s="55">
        <v>75</v>
      </c>
      <c r="B81" s="40" t="s">
        <v>368</v>
      </c>
      <c r="C81" s="47"/>
      <c r="D81" s="56" t="s">
        <v>196</v>
      </c>
      <c r="E81" s="40" t="s">
        <v>402</v>
      </c>
      <c r="F81" s="59" t="s">
        <v>403</v>
      </c>
      <c r="G81" s="55">
        <v>1</v>
      </c>
      <c r="H81" s="55" t="s">
        <v>196</v>
      </c>
      <c r="I81" s="58" t="s">
        <v>411</v>
      </c>
      <c r="J81" s="45" t="s">
        <v>405</v>
      </c>
      <c r="K81" s="58" t="s">
        <v>412</v>
      </c>
      <c r="L81" s="58" t="s">
        <v>189</v>
      </c>
      <c r="M81" s="59" t="s">
        <v>413</v>
      </c>
      <c r="N81" s="62"/>
    </row>
    <row r="82" spans="1:14" s="61" customFormat="1">
      <c r="A82" s="55">
        <v>76</v>
      </c>
      <c r="B82" s="40" t="s">
        <v>368</v>
      </c>
      <c r="C82" s="47"/>
      <c r="D82" s="56" t="s">
        <v>186</v>
      </c>
      <c r="E82" s="40" t="s">
        <v>402</v>
      </c>
      <c r="F82" s="59" t="s">
        <v>414</v>
      </c>
      <c r="G82" s="55">
        <v>1</v>
      </c>
      <c r="H82" s="55" t="s">
        <v>186</v>
      </c>
      <c r="I82" s="58" t="s">
        <v>415</v>
      </c>
      <c r="J82" s="45" t="s">
        <v>405</v>
      </c>
      <c r="K82" s="58" t="s">
        <v>416</v>
      </c>
      <c r="L82" s="58" t="s">
        <v>189</v>
      </c>
      <c r="M82" s="59" t="s">
        <v>417</v>
      </c>
      <c r="N82" s="62"/>
    </row>
    <row r="83" spans="1:14" s="61" customFormat="1">
      <c r="A83" s="55">
        <v>77</v>
      </c>
      <c r="B83" s="40" t="s">
        <v>368</v>
      </c>
      <c r="C83" s="47"/>
      <c r="D83" s="56" t="s">
        <v>207</v>
      </c>
      <c r="E83" s="40" t="s">
        <v>402</v>
      </c>
      <c r="F83" s="59" t="s">
        <v>418</v>
      </c>
      <c r="G83" s="55">
        <v>1</v>
      </c>
      <c r="H83" s="55" t="s">
        <v>207</v>
      </c>
      <c r="I83" s="58" t="s">
        <v>419</v>
      </c>
      <c r="J83" s="45" t="s">
        <v>420</v>
      </c>
      <c r="K83" s="58" t="s">
        <v>421</v>
      </c>
      <c r="L83" s="58" t="s">
        <v>189</v>
      </c>
      <c r="M83" s="59" t="s">
        <v>422</v>
      </c>
      <c r="N83" s="62"/>
    </row>
    <row r="84" spans="1:14" s="61" customFormat="1">
      <c r="A84" s="55">
        <v>78</v>
      </c>
      <c r="B84" s="40" t="s">
        <v>368</v>
      </c>
      <c r="C84" s="47"/>
      <c r="D84" s="56" t="s">
        <v>212</v>
      </c>
      <c r="E84" s="40" t="s">
        <v>402</v>
      </c>
      <c r="F84" s="59" t="s">
        <v>423</v>
      </c>
      <c r="G84" s="55">
        <v>1</v>
      </c>
      <c r="H84" s="55" t="s">
        <v>212</v>
      </c>
      <c r="I84" s="58" t="s">
        <v>424</v>
      </c>
      <c r="J84" s="45" t="s">
        <v>425</v>
      </c>
      <c r="K84" s="58" t="s">
        <v>426</v>
      </c>
      <c r="L84" s="58" t="s">
        <v>189</v>
      </c>
      <c r="M84" s="59" t="s">
        <v>427</v>
      </c>
      <c r="N84" s="62"/>
    </row>
    <row r="85" spans="1:14" s="61" customFormat="1">
      <c r="A85" s="55">
        <v>79</v>
      </c>
      <c r="B85" s="40" t="s">
        <v>368</v>
      </c>
      <c r="C85" s="47"/>
      <c r="D85" s="56" t="s">
        <v>251</v>
      </c>
      <c r="E85" s="40" t="s">
        <v>402</v>
      </c>
      <c r="F85" s="59" t="s">
        <v>414</v>
      </c>
      <c r="G85" s="55">
        <v>1</v>
      </c>
      <c r="H85" s="55" t="s">
        <v>251</v>
      </c>
      <c r="I85" s="58" t="s">
        <v>428</v>
      </c>
      <c r="J85" s="45" t="s">
        <v>405</v>
      </c>
      <c r="K85" s="58" t="s">
        <v>429</v>
      </c>
      <c r="L85" s="58" t="s">
        <v>430</v>
      </c>
      <c r="M85" s="59" t="s">
        <v>431</v>
      </c>
      <c r="N85" s="62"/>
    </row>
    <row r="86" spans="1:14" s="61" customFormat="1">
      <c r="A86" s="55">
        <v>80</v>
      </c>
      <c r="B86" s="40" t="s">
        <v>368</v>
      </c>
      <c r="C86" s="47"/>
      <c r="D86" s="56" t="s">
        <v>217</v>
      </c>
      <c r="E86" s="40" t="s">
        <v>402</v>
      </c>
      <c r="F86" s="59" t="s">
        <v>403</v>
      </c>
      <c r="G86" s="55">
        <v>1</v>
      </c>
      <c r="H86" s="55" t="s">
        <v>217</v>
      </c>
      <c r="I86" s="58" t="s">
        <v>432</v>
      </c>
      <c r="J86" s="45" t="s">
        <v>405</v>
      </c>
      <c r="K86" s="58" t="s">
        <v>433</v>
      </c>
      <c r="L86" s="58" t="s">
        <v>430</v>
      </c>
      <c r="M86" s="59" t="s">
        <v>434</v>
      </c>
      <c r="N86" s="62"/>
    </row>
    <row r="87" spans="1:14" s="61" customFormat="1">
      <c r="A87" s="55">
        <v>81</v>
      </c>
      <c r="B87" s="40" t="s">
        <v>368</v>
      </c>
      <c r="C87" s="47"/>
      <c r="D87" s="56" t="s">
        <v>222</v>
      </c>
      <c r="E87" s="40" t="s">
        <v>402</v>
      </c>
      <c r="F87" s="59" t="s">
        <v>403</v>
      </c>
      <c r="G87" s="55">
        <v>1</v>
      </c>
      <c r="H87" s="55" t="s">
        <v>222</v>
      </c>
      <c r="I87" s="58" t="s">
        <v>435</v>
      </c>
      <c r="J87" s="45" t="s">
        <v>405</v>
      </c>
      <c r="K87" s="58" t="s">
        <v>436</v>
      </c>
      <c r="L87" s="58" t="s">
        <v>430</v>
      </c>
      <c r="M87" s="59" t="s">
        <v>437</v>
      </c>
      <c r="N87" s="62"/>
    </row>
    <row r="88" spans="1:14" s="61" customFormat="1">
      <c r="A88" s="55">
        <v>82</v>
      </c>
      <c r="B88" s="40" t="s">
        <v>368</v>
      </c>
      <c r="C88" s="47"/>
      <c r="D88" s="56" t="s">
        <v>225</v>
      </c>
      <c r="E88" s="40" t="s">
        <v>402</v>
      </c>
      <c r="F88" s="59" t="s">
        <v>403</v>
      </c>
      <c r="G88" s="55">
        <v>1</v>
      </c>
      <c r="H88" s="55" t="s">
        <v>225</v>
      </c>
      <c r="I88" s="58" t="s">
        <v>438</v>
      </c>
      <c r="J88" s="45" t="s">
        <v>405</v>
      </c>
      <c r="K88" s="58" t="s">
        <v>439</v>
      </c>
      <c r="L88" s="58" t="s">
        <v>430</v>
      </c>
      <c r="M88" s="59" t="s">
        <v>440</v>
      </c>
      <c r="N88" s="62"/>
    </row>
    <row r="89" spans="1:14" s="61" customFormat="1">
      <c r="A89" s="55">
        <v>83</v>
      </c>
      <c r="B89" s="40" t="s">
        <v>368</v>
      </c>
      <c r="C89" s="47"/>
      <c r="D89" s="56" t="s">
        <v>237</v>
      </c>
      <c r="E89" s="40" t="s">
        <v>402</v>
      </c>
      <c r="F89" s="59" t="s">
        <v>414</v>
      </c>
      <c r="G89" s="55">
        <v>1</v>
      </c>
      <c r="H89" s="55" t="s">
        <v>237</v>
      </c>
      <c r="I89" s="58" t="s">
        <v>441</v>
      </c>
      <c r="J89" s="45" t="s">
        <v>405</v>
      </c>
      <c r="K89" s="58" t="s">
        <v>442</v>
      </c>
      <c r="L89" s="58" t="s">
        <v>430</v>
      </c>
      <c r="M89" s="59" t="s">
        <v>443</v>
      </c>
      <c r="N89" s="62"/>
    </row>
    <row r="90" spans="1:14" s="61" customFormat="1">
      <c r="A90" s="55">
        <v>84</v>
      </c>
      <c r="B90" s="40" t="s">
        <v>368</v>
      </c>
      <c r="C90" s="47"/>
      <c r="D90" s="56" t="s">
        <v>234</v>
      </c>
      <c r="E90" s="40" t="s">
        <v>402</v>
      </c>
      <c r="F90" s="59" t="s">
        <v>414</v>
      </c>
      <c r="G90" s="55">
        <v>1</v>
      </c>
      <c r="H90" s="55" t="s">
        <v>234</v>
      </c>
      <c r="I90" s="58" t="s">
        <v>444</v>
      </c>
      <c r="J90" s="45" t="s">
        <v>405</v>
      </c>
      <c r="K90" s="58" t="s">
        <v>445</v>
      </c>
      <c r="L90" s="58" t="s">
        <v>430</v>
      </c>
      <c r="M90" s="59" t="s">
        <v>446</v>
      </c>
      <c r="N90" s="62"/>
    </row>
    <row r="91" spans="1:14" s="61" customFormat="1">
      <c r="A91" s="55">
        <v>85</v>
      </c>
      <c r="B91" s="40" t="s">
        <v>368</v>
      </c>
      <c r="C91" s="47"/>
      <c r="D91" s="56" t="s">
        <v>240</v>
      </c>
      <c r="E91" s="40" t="s">
        <v>402</v>
      </c>
      <c r="F91" s="59" t="s">
        <v>414</v>
      </c>
      <c r="G91" s="55">
        <v>1</v>
      </c>
      <c r="H91" s="55" t="s">
        <v>240</v>
      </c>
      <c r="I91" s="58" t="s">
        <v>447</v>
      </c>
      <c r="J91" s="45" t="s">
        <v>405</v>
      </c>
      <c r="K91" s="58" t="s">
        <v>448</v>
      </c>
      <c r="L91" s="58" t="s">
        <v>430</v>
      </c>
      <c r="M91" s="59" t="s">
        <v>449</v>
      </c>
      <c r="N91" s="62"/>
    </row>
    <row r="92" spans="1:14" s="61" customFormat="1">
      <c r="A92" s="55">
        <v>86</v>
      </c>
      <c r="B92" s="40" t="s">
        <v>368</v>
      </c>
      <c r="C92" s="47"/>
      <c r="D92" s="56" t="s">
        <v>228</v>
      </c>
      <c r="E92" s="40" t="s">
        <v>402</v>
      </c>
      <c r="F92" s="59" t="s">
        <v>414</v>
      </c>
      <c r="G92" s="55">
        <v>1</v>
      </c>
      <c r="H92" s="55" t="s">
        <v>228</v>
      </c>
      <c r="I92" s="58">
        <v>21433</v>
      </c>
      <c r="J92" s="45" t="s">
        <v>405</v>
      </c>
      <c r="K92" s="58" t="s">
        <v>450</v>
      </c>
      <c r="L92" s="58" t="s">
        <v>430</v>
      </c>
      <c r="M92" s="59" t="s">
        <v>451</v>
      </c>
      <c r="N92" s="62"/>
    </row>
    <row r="93" spans="1:14" s="61" customFormat="1">
      <c r="A93" s="55">
        <v>87</v>
      </c>
      <c r="B93" s="40" t="s">
        <v>368</v>
      </c>
      <c r="C93" s="47"/>
      <c r="D93" s="56" t="s">
        <v>244</v>
      </c>
      <c r="E93" s="40" t="s">
        <v>402</v>
      </c>
      <c r="F93" s="59" t="s">
        <v>418</v>
      </c>
      <c r="G93" s="55">
        <v>1</v>
      </c>
      <c r="H93" s="55" t="s">
        <v>244</v>
      </c>
      <c r="I93" s="58" t="s">
        <v>452</v>
      </c>
      <c r="J93" s="45" t="s">
        <v>420</v>
      </c>
      <c r="K93" s="58" t="s">
        <v>453</v>
      </c>
      <c r="L93" s="58" t="s">
        <v>430</v>
      </c>
      <c r="M93" s="59" t="s">
        <v>454</v>
      </c>
      <c r="N93" s="62"/>
    </row>
    <row r="94" spans="1:14" s="61" customFormat="1">
      <c r="A94" s="55">
        <v>88</v>
      </c>
      <c r="B94" s="40" t="s">
        <v>368</v>
      </c>
      <c r="C94" s="47"/>
      <c r="D94" s="56" t="s">
        <v>248</v>
      </c>
      <c r="E94" s="40" t="s">
        <v>402</v>
      </c>
      <c r="F94" s="59" t="s">
        <v>418</v>
      </c>
      <c r="G94" s="55">
        <v>1</v>
      </c>
      <c r="H94" s="55" t="s">
        <v>248</v>
      </c>
      <c r="I94" s="58" t="s">
        <v>455</v>
      </c>
      <c r="J94" s="45" t="s">
        <v>420</v>
      </c>
      <c r="K94" s="58" t="s">
        <v>456</v>
      </c>
      <c r="L94" s="58" t="s">
        <v>430</v>
      </c>
      <c r="M94" s="59" t="s">
        <v>457</v>
      </c>
      <c r="N94" s="62"/>
    </row>
    <row r="95" spans="1:14" s="61" customFormat="1">
      <c r="A95" s="55">
        <v>89</v>
      </c>
      <c r="B95" s="40" t="s">
        <v>368</v>
      </c>
      <c r="C95" s="47"/>
      <c r="D95" s="56" t="s">
        <v>254</v>
      </c>
      <c r="E95" s="40" t="s">
        <v>402</v>
      </c>
      <c r="F95" s="59" t="s">
        <v>403</v>
      </c>
      <c r="G95" s="55">
        <v>1</v>
      </c>
      <c r="H95" s="55" t="s">
        <v>254</v>
      </c>
      <c r="I95" s="58" t="s">
        <v>458</v>
      </c>
      <c r="J95" s="45" t="s">
        <v>405</v>
      </c>
      <c r="K95" s="58" t="s">
        <v>459</v>
      </c>
      <c r="L95" s="58" t="s">
        <v>460</v>
      </c>
      <c r="M95" s="59" t="s">
        <v>461</v>
      </c>
      <c r="N95" s="62"/>
    </row>
    <row r="96" spans="1:14" s="61" customFormat="1">
      <c r="A96" s="55">
        <v>90</v>
      </c>
      <c r="B96" s="40" t="s">
        <v>368</v>
      </c>
      <c r="C96" s="47"/>
      <c r="D96" s="56" t="s">
        <v>257</v>
      </c>
      <c r="E96" s="40" t="s">
        <v>402</v>
      </c>
      <c r="F96" s="59" t="s">
        <v>403</v>
      </c>
      <c r="G96" s="55">
        <v>1</v>
      </c>
      <c r="H96" s="55" t="s">
        <v>257</v>
      </c>
      <c r="I96" s="58" t="s">
        <v>462</v>
      </c>
      <c r="J96" s="45" t="s">
        <v>405</v>
      </c>
      <c r="K96" s="58" t="s">
        <v>463</v>
      </c>
      <c r="L96" s="58" t="s">
        <v>460</v>
      </c>
      <c r="M96" s="59" t="s">
        <v>464</v>
      </c>
      <c r="N96" s="62"/>
    </row>
    <row r="97" spans="1:14" s="61" customFormat="1">
      <c r="A97" s="55">
        <v>91</v>
      </c>
      <c r="B97" s="40" t="s">
        <v>368</v>
      </c>
      <c r="C97" s="47"/>
      <c r="D97" s="56" t="s">
        <v>260</v>
      </c>
      <c r="E97" s="40" t="s">
        <v>402</v>
      </c>
      <c r="F97" s="59" t="s">
        <v>418</v>
      </c>
      <c r="G97" s="55">
        <v>1</v>
      </c>
      <c r="H97" s="55" t="s">
        <v>260</v>
      </c>
      <c r="I97" s="58" t="s">
        <v>465</v>
      </c>
      <c r="J97" s="45" t="s">
        <v>420</v>
      </c>
      <c r="K97" s="58" t="s">
        <v>466</v>
      </c>
      <c r="L97" s="58" t="s">
        <v>460</v>
      </c>
      <c r="M97" s="59" t="s">
        <v>467</v>
      </c>
      <c r="N97" s="62"/>
    </row>
    <row r="98" spans="1:14" s="61" customFormat="1">
      <c r="A98" s="55">
        <v>92</v>
      </c>
      <c r="B98" s="59" t="s">
        <v>468</v>
      </c>
      <c r="C98" s="65"/>
      <c r="D98" s="56" t="s">
        <v>168</v>
      </c>
      <c r="E98" s="40" t="s">
        <v>469</v>
      </c>
      <c r="F98" s="40" t="s">
        <v>470</v>
      </c>
      <c r="G98" s="55">
        <v>1</v>
      </c>
      <c r="H98" s="55" t="s">
        <v>168</v>
      </c>
      <c r="I98" s="68"/>
      <c r="J98" s="69"/>
      <c r="K98" s="58" t="s">
        <v>471</v>
      </c>
      <c r="L98" s="58" t="s">
        <v>172</v>
      </c>
      <c r="M98" s="59" t="s">
        <v>472</v>
      </c>
      <c r="N98" s="60">
        <f>SUM(G98:G99)</f>
        <v>2</v>
      </c>
    </row>
    <row r="99" spans="1:14" s="61" customFormat="1">
      <c r="A99" s="55">
        <v>93</v>
      </c>
      <c r="B99" s="59" t="s">
        <v>468</v>
      </c>
      <c r="C99" s="65"/>
      <c r="D99" s="56" t="s">
        <v>125</v>
      </c>
      <c r="E99" s="40" t="s">
        <v>469</v>
      </c>
      <c r="F99" s="40" t="s">
        <v>470</v>
      </c>
      <c r="G99" s="55">
        <v>1</v>
      </c>
      <c r="H99" s="55" t="s">
        <v>125</v>
      </c>
      <c r="I99" s="68"/>
      <c r="J99" s="69"/>
      <c r="K99" s="70" t="s">
        <v>473</v>
      </c>
      <c r="L99" s="70" t="s">
        <v>474</v>
      </c>
      <c r="M99" s="71" t="s">
        <v>475</v>
      </c>
      <c r="N99" s="62"/>
    </row>
    <row r="100" spans="1:14" s="61" customFormat="1">
      <c r="A100" s="55">
        <v>94</v>
      </c>
      <c r="B100" s="40" t="s">
        <v>476</v>
      </c>
      <c r="C100" s="47"/>
      <c r="D100" s="56" t="s">
        <v>153</v>
      </c>
      <c r="E100" s="40" t="s">
        <v>469</v>
      </c>
      <c r="F100" s="59" t="s">
        <v>477</v>
      </c>
      <c r="G100" s="55">
        <v>1</v>
      </c>
      <c r="H100" s="55" t="s">
        <v>153</v>
      </c>
      <c r="I100" s="58" t="s">
        <v>478</v>
      </c>
      <c r="J100" s="45" t="s">
        <v>479</v>
      </c>
      <c r="K100" s="70" t="s">
        <v>480</v>
      </c>
      <c r="L100" s="64" t="s">
        <v>172</v>
      </c>
      <c r="M100" s="71" t="s">
        <v>481</v>
      </c>
      <c r="N100" s="60">
        <f>SUM(G100:G101)</f>
        <v>2</v>
      </c>
    </row>
    <row r="101" spans="1:14" s="61" customFormat="1">
      <c r="A101" s="55">
        <v>95</v>
      </c>
      <c r="B101" s="40" t="s">
        <v>476</v>
      </c>
      <c r="C101" s="47"/>
      <c r="D101" s="56" t="s">
        <v>161</v>
      </c>
      <c r="E101" s="40" t="s">
        <v>469</v>
      </c>
      <c r="F101" s="59" t="s">
        <v>477</v>
      </c>
      <c r="G101" s="55">
        <v>1</v>
      </c>
      <c r="H101" s="55" t="s">
        <v>161</v>
      </c>
      <c r="I101" s="58" t="s">
        <v>482</v>
      </c>
      <c r="J101" s="45" t="s">
        <v>479</v>
      </c>
      <c r="K101" s="70" t="s">
        <v>483</v>
      </c>
      <c r="L101" s="72" t="s">
        <v>474</v>
      </c>
      <c r="M101" s="71" t="s">
        <v>484</v>
      </c>
      <c r="N101" s="62"/>
    </row>
    <row r="102" spans="1:14" s="61" customFormat="1">
      <c r="A102" s="55">
        <v>96</v>
      </c>
      <c r="B102" s="59" t="s">
        <v>485</v>
      </c>
      <c r="C102" s="65"/>
      <c r="D102" s="73" t="s">
        <v>203</v>
      </c>
      <c r="E102" s="40" t="s">
        <v>369</v>
      </c>
      <c r="F102" s="40" t="s">
        <v>486</v>
      </c>
      <c r="G102" s="55">
        <v>1</v>
      </c>
      <c r="H102" s="74" t="s">
        <v>487</v>
      </c>
      <c r="I102" s="75" t="s">
        <v>488</v>
      </c>
      <c r="J102" s="76" t="s">
        <v>489</v>
      </c>
      <c r="K102" s="58" t="s">
        <v>490</v>
      </c>
      <c r="L102" s="58" t="s">
        <v>374</v>
      </c>
      <c r="M102" s="59" t="s">
        <v>491</v>
      </c>
      <c r="N102" s="60">
        <f>SUM(G102:G133)</f>
        <v>32</v>
      </c>
    </row>
    <row r="103" spans="1:14" s="61" customFormat="1">
      <c r="A103" s="55">
        <v>97</v>
      </c>
      <c r="B103" s="59" t="s">
        <v>485</v>
      </c>
      <c r="C103" s="65"/>
      <c r="D103" s="73" t="s">
        <v>222</v>
      </c>
      <c r="E103" s="40" t="s">
        <v>369</v>
      </c>
      <c r="F103" s="40" t="s">
        <v>486</v>
      </c>
      <c r="G103" s="55">
        <v>1</v>
      </c>
      <c r="H103" s="74" t="s">
        <v>492</v>
      </c>
      <c r="I103" s="75" t="s">
        <v>493</v>
      </c>
      <c r="J103" s="76" t="s">
        <v>489</v>
      </c>
      <c r="K103" s="58" t="s">
        <v>490</v>
      </c>
      <c r="L103" s="58" t="s">
        <v>374</v>
      </c>
      <c r="M103" s="59" t="s">
        <v>491</v>
      </c>
      <c r="N103" s="62"/>
    </row>
    <row r="104" spans="1:14" s="61" customFormat="1">
      <c r="A104" s="55">
        <v>98</v>
      </c>
      <c r="B104" s="59" t="s">
        <v>485</v>
      </c>
      <c r="C104" s="65"/>
      <c r="D104" s="73" t="s">
        <v>225</v>
      </c>
      <c r="E104" s="40" t="s">
        <v>369</v>
      </c>
      <c r="F104" s="40" t="s">
        <v>486</v>
      </c>
      <c r="G104" s="55">
        <v>1</v>
      </c>
      <c r="H104" s="74" t="s">
        <v>494</v>
      </c>
      <c r="I104" s="75" t="s">
        <v>495</v>
      </c>
      <c r="J104" s="76" t="s">
        <v>489</v>
      </c>
      <c r="K104" s="58" t="s">
        <v>490</v>
      </c>
      <c r="L104" s="58" t="s">
        <v>374</v>
      </c>
      <c r="M104" s="59" t="s">
        <v>491</v>
      </c>
      <c r="N104" s="62"/>
    </row>
    <row r="105" spans="1:14" s="61" customFormat="1">
      <c r="A105" s="55">
        <v>99</v>
      </c>
      <c r="B105" s="59" t="s">
        <v>485</v>
      </c>
      <c r="C105" s="65"/>
      <c r="D105" s="73" t="s">
        <v>228</v>
      </c>
      <c r="E105" s="40" t="s">
        <v>369</v>
      </c>
      <c r="F105" s="40" t="s">
        <v>486</v>
      </c>
      <c r="G105" s="55">
        <v>1</v>
      </c>
      <c r="H105" s="74" t="s">
        <v>496</v>
      </c>
      <c r="I105" s="75" t="s">
        <v>497</v>
      </c>
      <c r="J105" s="76" t="s">
        <v>489</v>
      </c>
      <c r="K105" s="58" t="s">
        <v>490</v>
      </c>
      <c r="L105" s="58" t="s">
        <v>374</v>
      </c>
      <c r="M105" s="59" t="s">
        <v>491</v>
      </c>
      <c r="N105" s="62"/>
    </row>
    <row r="106" spans="1:14" s="61" customFormat="1">
      <c r="A106" s="55">
        <v>100</v>
      </c>
      <c r="B106" s="59" t="s">
        <v>485</v>
      </c>
      <c r="C106" s="65"/>
      <c r="D106" s="73" t="s">
        <v>260</v>
      </c>
      <c r="E106" s="40" t="s">
        <v>369</v>
      </c>
      <c r="F106" s="40" t="s">
        <v>486</v>
      </c>
      <c r="G106" s="55">
        <v>1</v>
      </c>
      <c r="H106" s="74" t="s">
        <v>498</v>
      </c>
      <c r="I106" s="75" t="s">
        <v>499</v>
      </c>
      <c r="J106" s="76" t="s">
        <v>489</v>
      </c>
      <c r="K106" s="58" t="s">
        <v>500</v>
      </c>
      <c r="L106" s="58" t="s">
        <v>374</v>
      </c>
      <c r="M106" s="59" t="s">
        <v>501</v>
      </c>
      <c r="N106" s="62"/>
    </row>
    <row r="107" spans="1:14" s="61" customFormat="1">
      <c r="A107" s="55">
        <v>101</v>
      </c>
      <c r="B107" s="59" t="s">
        <v>485</v>
      </c>
      <c r="C107" s="65"/>
      <c r="D107" s="73" t="s">
        <v>251</v>
      </c>
      <c r="E107" s="40" t="s">
        <v>369</v>
      </c>
      <c r="F107" s="40" t="s">
        <v>486</v>
      </c>
      <c r="G107" s="55">
        <v>1</v>
      </c>
      <c r="H107" s="74" t="s">
        <v>502</v>
      </c>
      <c r="I107" s="75" t="s">
        <v>503</v>
      </c>
      <c r="J107" s="76" t="s">
        <v>489</v>
      </c>
      <c r="K107" s="58" t="s">
        <v>500</v>
      </c>
      <c r="L107" s="58" t="s">
        <v>374</v>
      </c>
      <c r="M107" s="59" t="s">
        <v>501</v>
      </c>
      <c r="N107" s="62"/>
    </row>
    <row r="108" spans="1:14" s="61" customFormat="1">
      <c r="A108" s="55">
        <v>102</v>
      </c>
      <c r="B108" s="59" t="s">
        <v>485</v>
      </c>
      <c r="C108" s="65"/>
      <c r="D108" s="73" t="s">
        <v>180</v>
      </c>
      <c r="E108" s="40" t="s">
        <v>369</v>
      </c>
      <c r="F108" s="40" t="s">
        <v>486</v>
      </c>
      <c r="G108" s="55">
        <v>1</v>
      </c>
      <c r="H108" s="74" t="s">
        <v>504</v>
      </c>
      <c r="I108" s="75" t="s">
        <v>505</v>
      </c>
      <c r="J108" s="76" t="s">
        <v>489</v>
      </c>
      <c r="K108" s="58" t="s">
        <v>506</v>
      </c>
      <c r="L108" s="58" t="s">
        <v>390</v>
      </c>
      <c r="M108" s="59" t="s">
        <v>507</v>
      </c>
      <c r="N108" s="62"/>
    </row>
    <row r="109" spans="1:14" s="61" customFormat="1">
      <c r="A109" s="55">
        <v>103</v>
      </c>
      <c r="B109" s="59" t="s">
        <v>485</v>
      </c>
      <c r="C109" s="65"/>
      <c r="D109" s="73" t="s">
        <v>153</v>
      </c>
      <c r="E109" s="40" t="s">
        <v>369</v>
      </c>
      <c r="F109" s="40" t="s">
        <v>486</v>
      </c>
      <c r="G109" s="55">
        <v>1</v>
      </c>
      <c r="H109" s="74" t="s">
        <v>508</v>
      </c>
      <c r="I109" s="75" t="s">
        <v>509</v>
      </c>
      <c r="J109" s="76" t="s">
        <v>489</v>
      </c>
      <c r="K109" s="58" t="s">
        <v>500</v>
      </c>
      <c r="L109" s="58" t="s">
        <v>374</v>
      </c>
      <c r="M109" s="59" t="s">
        <v>501</v>
      </c>
      <c r="N109" s="62"/>
    </row>
    <row r="110" spans="1:14" s="61" customFormat="1">
      <c r="A110" s="55">
        <v>104</v>
      </c>
      <c r="B110" s="59" t="s">
        <v>485</v>
      </c>
      <c r="C110" s="65"/>
      <c r="D110" s="56" t="s">
        <v>161</v>
      </c>
      <c r="E110" s="40" t="s">
        <v>469</v>
      </c>
      <c r="F110" s="40" t="s">
        <v>510</v>
      </c>
      <c r="G110" s="55">
        <v>1</v>
      </c>
      <c r="H110" s="55" t="s">
        <v>511</v>
      </c>
      <c r="I110" s="58" t="s">
        <v>512</v>
      </c>
      <c r="J110" s="76" t="s">
        <v>489</v>
      </c>
      <c r="K110" s="58" t="s">
        <v>513</v>
      </c>
      <c r="L110" s="58" t="s">
        <v>172</v>
      </c>
      <c r="M110" s="59" t="s">
        <v>514</v>
      </c>
      <c r="N110" s="62"/>
    </row>
    <row r="111" spans="1:14" s="61" customFormat="1">
      <c r="A111" s="55">
        <v>105</v>
      </c>
      <c r="B111" s="59" t="s">
        <v>485</v>
      </c>
      <c r="C111" s="65"/>
      <c r="D111" s="56" t="s">
        <v>254</v>
      </c>
      <c r="E111" s="40" t="s">
        <v>369</v>
      </c>
      <c r="F111" s="40" t="s">
        <v>486</v>
      </c>
      <c r="G111" s="55">
        <v>1</v>
      </c>
      <c r="H111" s="55" t="s">
        <v>515</v>
      </c>
      <c r="I111" s="75" t="s">
        <v>516</v>
      </c>
      <c r="J111" s="76" t="s">
        <v>489</v>
      </c>
      <c r="K111" s="58" t="s">
        <v>517</v>
      </c>
      <c r="L111" s="58" t="s">
        <v>166</v>
      </c>
      <c r="M111" s="59" t="s">
        <v>518</v>
      </c>
      <c r="N111" s="62"/>
    </row>
    <row r="112" spans="1:14" s="61" customFormat="1">
      <c r="A112" s="55">
        <v>106</v>
      </c>
      <c r="B112" s="59" t="s">
        <v>485</v>
      </c>
      <c r="C112" s="65"/>
      <c r="D112" s="56" t="s">
        <v>125</v>
      </c>
      <c r="E112" s="40" t="s">
        <v>469</v>
      </c>
      <c r="F112" s="40" t="s">
        <v>510</v>
      </c>
      <c r="G112" s="55">
        <v>1</v>
      </c>
      <c r="H112" s="55" t="s">
        <v>519</v>
      </c>
      <c r="I112" s="75" t="s">
        <v>520</v>
      </c>
      <c r="J112" s="45" t="s">
        <v>521</v>
      </c>
      <c r="K112" s="58" t="s">
        <v>522</v>
      </c>
      <c r="L112" s="58" t="s">
        <v>474</v>
      </c>
      <c r="M112" s="59" t="s">
        <v>523</v>
      </c>
      <c r="N112" s="62"/>
    </row>
    <row r="113" spans="1:14" s="61" customFormat="1">
      <c r="A113" s="55">
        <v>107</v>
      </c>
      <c r="B113" s="59" t="s">
        <v>485</v>
      </c>
      <c r="C113" s="65"/>
      <c r="D113" s="56" t="s">
        <v>524</v>
      </c>
      <c r="E113" s="40" t="s">
        <v>525</v>
      </c>
      <c r="F113" s="40" t="s">
        <v>526</v>
      </c>
      <c r="G113" s="55">
        <v>1</v>
      </c>
      <c r="H113" s="55" t="s">
        <v>524</v>
      </c>
      <c r="I113" s="58" t="s">
        <v>527</v>
      </c>
      <c r="J113" s="45" t="s">
        <v>528</v>
      </c>
      <c r="K113" s="58" t="s">
        <v>529</v>
      </c>
      <c r="L113" s="58" t="s">
        <v>184</v>
      </c>
      <c r="M113" s="59" t="s">
        <v>530</v>
      </c>
      <c r="N113" s="62"/>
    </row>
    <row r="114" spans="1:14" s="61" customFormat="1">
      <c r="A114" s="55">
        <v>108</v>
      </c>
      <c r="B114" s="59" t="s">
        <v>485</v>
      </c>
      <c r="C114" s="65"/>
      <c r="D114" s="56" t="s">
        <v>240</v>
      </c>
      <c r="E114" s="40" t="s">
        <v>402</v>
      </c>
      <c r="F114" s="40" t="s">
        <v>531</v>
      </c>
      <c r="G114" s="55">
        <v>1</v>
      </c>
      <c r="H114" s="55" t="s">
        <v>532</v>
      </c>
      <c r="I114" s="75" t="s">
        <v>533</v>
      </c>
      <c r="J114" s="45" t="s">
        <v>534</v>
      </c>
      <c r="K114" s="58" t="s">
        <v>535</v>
      </c>
      <c r="L114" s="58" t="s">
        <v>189</v>
      </c>
      <c r="M114" s="59" t="s">
        <v>536</v>
      </c>
      <c r="N114" s="62"/>
    </row>
    <row r="115" spans="1:14" s="61" customFormat="1">
      <c r="A115" s="55">
        <v>109</v>
      </c>
      <c r="B115" s="59" t="s">
        <v>485</v>
      </c>
      <c r="C115" s="65"/>
      <c r="D115" s="56" t="s">
        <v>164</v>
      </c>
      <c r="E115" s="40" t="s">
        <v>402</v>
      </c>
      <c r="F115" s="40" t="s">
        <v>531</v>
      </c>
      <c r="G115" s="55">
        <v>1</v>
      </c>
      <c r="H115" s="55" t="s">
        <v>537</v>
      </c>
      <c r="I115" s="75" t="s">
        <v>538</v>
      </c>
      <c r="J115" s="45" t="s">
        <v>534</v>
      </c>
      <c r="K115" s="58" t="s">
        <v>539</v>
      </c>
      <c r="L115" s="58" t="s">
        <v>189</v>
      </c>
      <c r="M115" s="59" t="s">
        <v>540</v>
      </c>
      <c r="N115" s="62"/>
    </row>
    <row r="116" spans="1:14" s="61" customFormat="1">
      <c r="A116" s="55">
        <v>110</v>
      </c>
      <c r="B116" s="59" t="s">
        <v>485</v>
      </c>
      <c r="C116" s="65"/>
      <c r="D116" s="56" t="s">
        <v>168</v>
      </c>
      <c r="E116" s="40" t="s">
        <v>402</v>
      </c>
      <c r="F116" s="40" t="s">
        <v>531</v>
      </c>
      <c r="G116" s="55">
        <v>1</v>
      </c>
      <c r="H116" s="55" t="s">
        <v>541</v>
      </c>
      <c r="I116" s="75" t="s">
        <v>542</v>
      </c>
      <c r="J116" s="45" t="s">
        <v>534</v>
      </c>
      <c r="K116" s="58" t="s">
        <v>543</v>
      </c>
      <c r="L116" s="58" t="s">
        <v>189</v>
      </c>
      <c r="M116" s="59" t="s">
        <v>544</v>
      </c>
      <c r="N116" s="62"/>
    </row>
    <row r="117" spans="1:14" s="61" customFormat="1">
      <c r="A117" s="55">
        <v>111</v>
      </c>
      <c r="B117" s="59" t="s">
        <v>485</v>
      </c>
      <c r="C117" s="65"/>
      <c r="D117" s="56" t="s">
        <v>191</v>
      </c>
      <c r="E117" s="40" t="s">
        <v>402</v>
      </c>
      <c r="F117" s="40" t="s">
        <v>531</v>
      </c>
      <c r="G117" s="55">
        <v>1</v>
      </c>
      <c r="H117" s="55" t="s">
        <v>545</v>
      </c>
      <c r="I117" s="75" t="s">
        <v>546</v>
      </c>
      <c r="J117" s="45" t="s">
        <v>534</v>
      </c>
      <c r="K117" s="58" t="s">
        <v>547</v>
      </c>
      <c r="L117" s="58" t="s">
        <v>189</v>
      </c>
      <c r="M117" s="59" t="s">
        <v>548</v>
      </c>
      <c r="N117" s="62"/>
    </row>
    <row r="118" spans="1:14" s="61" customFormat="1">
      <c r="A118" s="55">
        <v>112</v>
      </c>
      <c r="B118" s="59" t="s">
        <v>485</v>
      </c>
      <c r="C118" s="65"/>
      <c r="D118" s="56" t="s">
        <v>207</v>
      </c>
      <c r="E118" s="40" t="s">
        <v>402</v>
      </c>
      <c r="F118" s="40" t="s">
        <v>531</v>
      </c>
      <c r="G118" s="55">
        <v>1</v>
      </c>
      <c r="H118" s="55" t="s">
        <v>549</v>
      </c>
      <c r="I118" s="75" t="s">
        <v>550</v>
      </c>
      <c r="J118" s="45" t="s">
        <v>534</v>
      </c>
      <c r="K118" s="58" t="s">
        <v>551</v>
      </c>
      <c r="L118" s="58" t="s">
        <v>189</v>
      </c>
      <c r="M118" s="59" t="s">
        <v>552</v>
      </c>
      <c r="N118" s="62"/>
    </row>
    <row r="119" spans="1:14" s="61" customFormat="1">
      <c r="A119" s="55">
        <v>113</v>
      </c>
      <c r="B119" s="59" t="s">
        <v>485</v>
      </c>
      <c r="C119" s="65"/>
      <c r="D119" s="56" t="s">
        <v>244</v>
      </c>
      <c r="E119" s="40" t="s">
        <v>402</v>
      </c>
      <c r="F119" s="40" t="s">
        <v>531</v>
      </c>
      <c r="G119" s="55">
        <v>1</v>
      </c>
      <c r="H119" s="55" t="s">
        <v>553</v>
      </c>
      <c r="I119" s="75" t="s">
        <v>554</v>
      </c>
      <c r="J119" s="45" t="s">
        <v>534</v>
      </c>
      <c r="K119" s="58" t="s">
        <v>555</v>
      </c>
      <c r="L119" s="58" t="s">
        <v>189</v>
      </c>
      <c r="M119" s="59" t="s">
        <v>556</v>
      </c>
      <c r="N119" s="62"/>
    </row>
    <row r="120" spans="1:14" s="61" customFormat="1">
      <c r="A120" s="55">
        <v>114</v>
      </c>
      <c r="B120" s="59" t="s">
        <v>485</v>
      </c>
      <c r="C120" s="65"/>
      <c r="D120" s="56" t="s">
        <v>158</v>
      </c>
      <c r="E120" s="40" t="s">
        <v>402</v>
      </c>
      <c r="F120" s="40" t="s">
        <v>531</v>
      </c>
      <c r="G120" s="55">
        <v>1</v>
      </c>
      <c r="H120" s="55" t="s">
        <v>557</v>
      </c>
      <c r="I120" s="75" t="s">
        <v>558</v>
      </c>
      <c r="J120" s="45" t="s">
        <v>534</v>
      </c>
      <c r="K120" s="58" t="s">
        <v>559</v>
      </c>
      <c r="L120" s="58" t="s">
        <v>430</v>
      </c>
      <c r="M120" s="59" t="s">
        <v>560</v>
      </c>
      <c r="N120" s="62"/>
    </row>
    <row r="121" spans="1:14" s="61" customFormat="1">
      <c r="A121" s="55">
        <v>115</v>
      </c>
      <c r="B121" s="59" t="s">
        <v>485</v>
      </c>
      <c r="C121" s="65"/>
      <c r="D121" s="56" t="s">
        <v>196</v>
      </c>
      <c r="E121" s="40" t="s">
        <v>402</v>
      </c>
      <c r="F121" s="40" t="s">
        <v>531</v>
      </c>
      <c r="G121" s="55">
        <v>1</v>
      </c>
      <c r="H121" s="55" t="s">
        <v>561</v>
      </c>
      <c r="I121" s="75" t="s">
        <v>562</v>
      </c>
      <c r="J121" s="45" t="s">
        <v>534</v>
      </c>
      <c r="K121" s="58" t="s">
        <v>563</v>
      </c>
      <c r="L121" s="58" t="s">
        <v>430</v>
      </c>
      <c r="M121" s="59" t="s">
        <v>564</v>
      </c>
      <c r="N121" s="62"/>
    </row>
    <row r="122" spans="1:14" s="61" customFormat="1">
      <c r="A122" s="55">
        <v>116</v>
      </c>
      <c r="B122" s="59" t="s">
        <v>485</v>
      </c>
      <c r="C122" s="65"/>
      <c r="D122" s="56" t="s">
        <v>148</v>
      </c>
      <c r="E122" s="40" t="s">
        <v>402</v>
      </c>
      <c r="F122" s="40" t="s">
        <v>531</v>
      </c>
      <c r="G122" s="55">
        <v>1</v>
      </c>
      <c r="H122" s="55" t="s">
        <v>565</v>
      </c>
      <c r="I122" s="75" t="s">
        <v>566</v>
      </c>
      <c r="J122" s="45" t="s">
        <v>534</v>
      </c>
      <c r="K122" s="58" t="s">
        <v>567</v>
      </c>
      <c r="L122" s="58" t="s">
        <v>430</v>
      </c>
      <c r="M122" s="59" t="s">
        <v>568</v>
      </c>
      <c r="N122" s="62"/>
    </row>
    <row r="123" spans="1:14" s="61" customFormat="1">
      <c r="A123" s="55">
        <v>117</v>
      </c>
      <c r="B123" s="59" t="s">
        <v>485</v>
      </c>
      <c r="C123" s="65"/>
      <c r="D123" s="56">
        <v>220</v>
      </c>
      <c r="E123" s="40" t="s">
        <v>402</v>
      </c>
      <c r="F123" s="40" t="s">
        <v>531</v>
      </c>
      <c r="G123" s="55">
        <v>1</v>
      </c>
      <c r="H123" s="55" t="s">
        <v>569</v>
      </c>
      <c r="I123" s="75" t="s">
        <v>570</v>
      </c>
      <c r="J123" s="45" t="s">
        <v>534</v>
      </c>
      <c r="K123" s="58" t="s">
        <v>571</v>
      </c>
      <c r="L123" s="58" t="s">
        <v>430</v>
      </c>
      <c r="M123" s="59" t="s">
        <v>572</v>
      </c>
      <c r="N123" s="62"/>
    </row>
    <row r="124" spans="1:14" s="61" customFormat="1">
      <c r="A124" s="55">
        <v>118</v>
      </c>
      <c r="B124" s="59" t="s">
        <v>485</v>
      </c>
      <c r="C124" s="65"/>
      <c r="D124" s="56" t="s">
        <v>186</v>
      </c>
      <c r="E124" s="40" t="s">
        <v>402</v>
      </c>
      <c r="F124" s="40" t="s">
        <v>531</v>
      </c>
      <c r="G124" s="55">
        <v>1</v>
      </c>
      <c r="H124" s="55" t="s">
        <v>573</v>
      </c>
      <c r="I124" s="75" t="s">
        <v>574</v>
      </c>
      <c r="J124" s="45" t="s">
        <v>534</v>
      </c>
      <c r="K124" s="58" t="s">
        <v>575</v>
      </c>
      <c r="L124" s="58" t="s">
        <v>430</v>
      </c>
      <c r="M124" s="59" t="s">
        <v>576</v>
      </c>
      <c r="N124" s="62"/>
    </row>
    <row r="125" spans="1:14" s="61" customFormat="1">
      <c r="A125" s="55">
        <v>119</v>
      </c>
      <c r="B125" s="59" t="s">
        <v>485</v>
      </c>
      <c r="C125" s="65"/>
      <c r="D125" s="56" t="s">
        <v>257</v>
      </c>
      <c r="E125" s="40" t="s">
        <v>402</v>
      </c>
      <c r="F125" s="40" t="s">
        <v>531</v>
      </c>
      <c r="G125" s="55">
        <v>1</v>
      </c>
      <c r="H125" s="55" t="s">
        <v>524</v>
      </c>
      <c r="I125" s="75" t="s">
        <v>577</v>
      </c>
      <c r="J125" s="45" t="s">
        <v>534</v>
      </c>
      <c r="K125" s="58" t="s">
        <v>578</v>
      </c>
      <c r="L125" s="58" t="s">
        <v>430</v>
      </c>
      <c r="M125" s="59" t="s">
        <v>579</v>
      </c>
      <c r="N125" s="62"/>
    </row>
    <row r="126" spans="1:14" s="61" customFormat="1">
      <c r="A126" s="55">
        <v>120</v>
      </c>
      <c r="B126" s="59" t="s">
        <v>485</v>
      </c>
      <c r="C126" s="65"/>
      <c r="D126" s="56" t="s">
        <v>186</v>
      </c>
      <c r="E126" s="40" t="s">
        <v>402</v>
      </c>
      <c r="F126" s="40" t="s">
        <v>531</v>
      </c>
      <c r="G126" s="55">
        <v>1</v>
      </c>
      <c r="H126" s="55" t="s">
        <v>580</v>
      </c>
      <c r="I126" s="75" t="s">
        <v>581</v>
      </c>
      <c r="J126" s="45" t="s">
        <v>534</v>
      </c>
      <c r="K126" s="58" t="s">
        <v>582</v>
      </c>
      <c r="L126" s="58" t="s">
        <v>430</v>
      </c>
      <c r="M126" s="59" t="s">
        <v>583</v>
      </c>
      <c r="N126" s="62"/>
    </row>
    <row r="127" spans="1:14" s="61" customFormat="1">
      <c r="A127" s="55">
        <v>121</v>
      </c>
      <c r="B127" s="59" t="s">
        <v>485</v>
      </c>
      <c r="C127" s="65"/>
      <c r="D127" s="56" t="s">
        <v>234</v>
      </c>
      <c r="E127" s="40" t="s">
        <v>402</v>
      </c>
      <c r="F127" s="40" t="s">
        <v>531</v>
      </c>
      <c r="G127" s="55">
        <v>1</v>
      </c>
      <c r="H127" s="55" t="s">
        <v>584</v>
      </c>
      <c r="I127" s="75" t="s">
        <v>585</v>
      </c>
      <c r="J127" s="45" t="s">
        <v>534</v>
      </c>
      <c r="K127" s="58" t="s">
        <v>586</v>
      </c>
      <c r="L127" s="58" t="s">
        <v>430</v>
      </c>
      <c r="M127" s="59" t="s">
        <v>587</v>
      </c>
      <c r="N127" s="62"/>
    </row>
    <row r="128" spans="1:14" s="61" customFormat="1">
      <c r="A128" s="55">
        <v>122</v>
      </c>
      <c r="B128" s="59" t="s">
        <v>485</v>
      </c>
      <c r="C128" s="65"/>
      <c r="D128" s="56" t="s">
        <v>237</v>
      </c>
      <c r="E128" s="40" t="s">
        <v>402</v>
      </c>
      <c r="F128" s="40" t="s">
        <v>531</v>
      </c>
      <c r="G128" s="55">
        <v>1</v>
      </c>
      <c r="H128" s="55" t="s">
        <v>588</v>
      </c>
      <c r="I128" s="75" t="s">
        <v>589</v>
      </c>
      <c r="J128" s="45" t="s">
        <v>534</v>
      </c>
      <c r="K128" s="58" t="s">
        <v>590</v>
      </c>
      <c r="L128" s="58" t="s">
        <v>430</v>
      </c>
      <c r="M128" s="59" t="s">
        <v>591</v>
      </c>
      <c r="N128" s="62"/>
    </row>
    <row r="129" spans="1:14" s="61" customFormat="1">
      <c r="A129" s="55">
        <v>123</v>
      </c>
      <c r="B129" s="59" t="s">
        <v>485</v>
      </c>
      <c r="C129" s="65"/>
      <c r="D129" s="56" t="s">
        <v>137</v>
      </c>
      <c r="E129" s="40" t="s">
        <v>402</v>
      </c>
      <c r="F129" s="40" t="s">
        <v>531</v>
      </c>
      <c r="G129" s="55">
        <v>1</v>
      </c>
      <c r="H129" s="55" t="s">
        <v>592</v>
      </c>
      <c r="I129" s="75" t="s">
        <v>593</v>
      </c>
      <c r="J129" s="45" t="s">
        <v>534</v>
      </c>
      <c r="K129" s="58" t="s">
        <v>594</v>
      </c>
      <c r="L129" s="58" t="s">
        <v>430</v>
      </c>
      <c r="M129" s="59" t="s">
        <v>595</v>
      </c>
      <c r="N129" s="62"/>
    </row>
    <row r="130" spans="1:14" s="61" customFormat="1">
      <c r="A130" s="55">
        <v>124</v>
      </c>
      <c r="B130" s="59" t="s">
        <v>485</v>
      </c>
      <c r="C130" s="65"/>
      <c r="D130" s="56" t="s">
        <v>132</v>
      </c>
      <c r="E130" s="40" t="s">
        <v>525</v>
      </c>
      <c r="F130" s="40" t="s">
        <v>596</v>
      </c>
      <c r="G130" s="55">
        <v>1</v>
      </c>
      <c r="H130" s="55" t="s">
        <v>597</v>
      </c>
      <c r="I130" s="58" t="s">
        <v>598</v>
      </c>
      <c r="J130" s="45" t="s">
        <v>528</v>
      </c>
      <c r="K130" s="58" t="s">
        <v>599</v>
      </c>
      <c r="L130" s="58" t="s">
        <v>232</v>
      </c>
      <c r="M130" s="59" t="s">
        <v>600</v>
      </c>
      <c r="N130" s="62"/>
    </row>
    <row r="131" spans="1:14" s="61" customFormat="1">
      <c r="A131" s="55">
        <v>125</v>
      </c>
      <c r="B131" s="59" t="s">
        <v>485</v>
      </c>
      <c r="C131" s="65"/>
      <c r="D131" s="56" t="s">
        <v>217</v>
      </c>
      <c r="E131" s="40" t="s">
        <v>402</v>
      </c>
      <c r="F131" s="40" t="s">
        <v>531</v>
      </c>
      <c r="G131" s="55">
        <v>1</v>
      </c>
      <c r="H131" s="55" t="s">
        <v>601</v>
      </c>
      <c r="I131" s="75" t="s">
        <v>602</v>
      </c>
      <c r="J131" s="45" t="s">
        <v>534</v>
      </c>
      <c r="K131" s="58" t="s">
        <v>603</v>
      </c>
      <c r="L131" s="58" t="s">
        <v>460</v>
      </c>
      <c r="M131" s="59" t="s">
        <v>604</v>
      </c>
      <c r="N131" s="62"/>
    </row>
    <row r="132" spans="1:14" s="61" customFormat="1">
      <c r="A132" s="55">
        <v>126</v>
      </c>
      <c r="B132" s="59" t="s">
        <v>485</v>
      </c>
      <c r="C132" s="65"/>
      <c r="D132" s="56" t="s">
        <v>248</v>
      </c>
      <c r="E132" s="40" t="s">
        <v>402</v>
      </c>
      <c r="F132" s="40" t="s">
        <v>531</v>
      </c>
      <c r="G132" s="55">
        <v>1</v>
      </c>
      <c r="H132" s="55" t="s">
        <v>605</v>
      </c>
      <c r="I132" s="75" t="s">
        <v>606</v>
      </c>
      <c r="J132" s="45" t="s">
        <v>534</v>
      </c>
      <c r="K132" s="58" t="s">
        <v>607</v>
      </c>
      <c r="L132" s="58" t="s">
        <v>430</v>
      </c>
      <c r="M132" s="59" t="s">
        <v>608</v>
      </c>
      <c r="N132" s="62"/>
    </row>
    <row r="133" spans="1:14" s="61" customFormat="1">
      <c r="A133" s="55">
        <v>127</v>
      </c>
      <c r="B133" s="59" t="s">
        <v>485</v>
      </c>
      <c r="C133" s="65"/>
      <c r="D133" s="56" t="s">
        <v>196</v>
      </c>
      <c r="E133" s="40" t="s">
        <v>402</v>
      </c>
      <c r="F133" s="40" t="s">
        <v>531</v>
      </c>
      <c r="G133" s="55">
        <v>1</v>
      </c>
      <c r="H133" s="55" t="s">
        <v>609</v>
      </c>
      <c r="I133" s="75" t="s">
        <v>610</v>
      </c>
      <c r="J133" s="45" t="s">
        <v>534</v>
      </c>
      <c r="K133" s="58" t="s">
        <v>611</v>
      </c>
      <c r="L133" s="58" t="s">
        <v>460</v>
      </c>
      <c r="M133" s="59" t="s">
        <v>612</v>
      </c>
      <c r="N133" s="77"/>
    </row>
    <row r="134" spans="1:14" s="61" customFormat="1">
      <c r="A134" s="55">
        <v>128</v>
      </c>
      <c r="B134" s="59" t="s">
        <v>613</v>
      </c>
      <c r="C134" s="65"/>
      <c r="D134" s="56" t="s">
        <v>549</v>
      </c>
      <c r="E134" s="40" t="s">
        <v>614</v>
      </c>
      <c r="F134" s="40" t="s">
        <v>615</v>
      </c>
      <c r="G134" s="55">
        <v>1</v>
      </c>
      <c r="H134" s="55" t="s">
        <v>549</v>
      </c>
      <c r="I134" s="58" t="s">
        <v>616</v>
      </c>
      <c r="J134" s="45" t="s">
        <v>617</v>
      </c>
      <c r="K134" s="58" t="s">
        <v>618</v>
      </c>
      <c r="L134" s="58" t="s">
        <v>374</v>
      </c>
      <c r="M134" s="59" t="s">
        <v>619</v>
      </c>
      <c r="N134" s="62">
        <f>SUM(G134:G166)</f>
        <v>33</v>
      </c>
    </row>
    <row r="135" spans="1:14" s="61" customFormat="1">
      <c r="A135" s="55">
        <v>129</v>
      </c>
      <c r="B135" s="59" t="s">
        <v>613</v>
      </c>
      <c r="C135" s="65"/>
      <c r="D135" s="56" t="s">
        <v>496</v>
      </c>
      <c r="E135" s="40" t="s">
        <v>614</v>
      </c>
      <c r="F135" s="40" t="s">
        <v>620</v>
      </c>
      <c r="G135" s="55">
        <v>1</v>
      </c>
      <c r="H135" s="55" t="s">
        <v>496</v>
      </c>
      <c r="I135" s="58" t="s">
        <v>616</v>
      </c>
      <c r="J135" s="45" t="s">
        <v>617</v>
      </c>
      <c r="K135" s="58" t="s">
        <v>621</v>
      </c>
      <c r="L135" s="58" t="s">
        <v>374</v>
      </c>
      <c r="M135" s="59" t="s">
        <v>622</v>
      </c>
      <c r="N135" s="62"/>
    </row>
    <row r="136" spans="1:14" s="61" customFormat="1">
      <c r="A136" s="55">
        <v>130</v>
      </c>
      <c r="B136" s="59" t="s">
        <v>613</v>
      </c>
      <c r="C136" s="65"/>
      <c r="D136" s="73" t="s">
        <v>524</v>
      </c>
      <c r="E136" s="40" t="s">
        <v>614</v>
      </c>
      <c r="F136" s="40" t="s">
        <v>623</v>
      </c>
      <c r="G136" s="55">
        <v>1</v>
      </c>
      <c r="H136" s="74" t="s">
        <v>524</v>
      </c>
      <c r="I136" s="58" t="s">
        <v>616</v>
      </c>
      <c r="J136" s="45" t="s">
        <v>617</v>
      </c>
      <c r="K136" s="58" t="s">
        <v>624</v>
      </c>
      <c r="L136" s="58" t="s">
        <v>374</v>
      </c>
      <c r="M136" s="59" t="s">
        <v>625</v>
      </c>
      <c r="N136" s="62"/>
    </row>
    <row r="137" spans="1:14" s="61" customFormat="1">
      <c r="A137" s="55">
        <v>131</v>
      </c>
      <c r="B137" s="59" t="s">
        <v>613</v>
      </c>
      <c r="C137" s="65"/>
      <c r="D137" s="73" t="s">
        <v>487</v>
      </c>
      <c r="E137" s="40" t="s">
        <v>614</v>
      </c>
      <c r="F137" s="40" t="s">
        <v>623</v>
      </c>
      <c r="G137" s="55">
        <v>1</v>
      </c>
      <c r="H137" s="74" t="s">
        <v>487</v>
      </c>
      <c r="I137" s="58" t="s">
        <v>616</v>
      </c>
      <c r="J137" s="45" t="s">
        <v>617</v>
      </c>
      <c r="K137" s="58" t="s">
        <v>624</v>
      </c>
      <c r="L137" s="58" t="s">
        <v>374</v>
      </c>
      <c r="M137" s="59" t="s">
        <v>625</v>
      </c>
      <c r="N137" s="62"/>
    </row>
    <row r="138" spans="1:14" s="61" customFormat="1">
      <c r="A138" s="55">
        <v>132</v>
      </c>
      <c r="B138" s="59" t="s">
        <v>613</v>
      </c>
      <c r="C138" s="65"/>
      <c r="D138" s="73" t="s">
        <v>511</v>
      </c>
      <c r="E138" s="40" t="s">
        <v>614</v>
      </c>
      <c r="F138" s="40" t="s">
        <v>623</v>
      </c>
      <c r="G138" s="55">
        <v>1</v>
      </c>
      <c r="H138" s="74" t="s">
        <v>511</v>
      </c>
      <c r="I138" s="58" t="s">
        <v>616</v>
      </c>
      <c r="J138" s="45" t="s">
        <v>617</v>
      </c>
      <c r="K138" s="58" t="s">
        <v>626</v>
      </c>
      <c r="L138" s="58" t="s">
        <v>627</v>
      </c>
      <c r="M138" s="59" t="s">
        <v>628</v>
      </c>
      <c r="N138" s="62"/>
    </row>
    <row r="139" spans="1:14" s="61" customFormat="1">
      <c r="A139" s="55">
        <v>133</v>
      </c>
      <c r="B139" s="59" t="s">
        <v>613</v>
      </c>
      <c r="C139" s="65"/>
      <c r="D139" s="73" t="s">
        <v>494</v>
      </c>
      <c r="E139" s="40" t="s">
        <v>614</v>
      </c>
      <c r="F139" s="40" t="s">
        <v>623</v>
      </c>
      <c r="G139" s="55">
        <v>1</v>
      </c>
      <c r="H139" s="74" t="s">
        <v>494</v>
      </c>
      <c r="I139" s="58" t="s">
        <v>616</v>
      </c>
      <c r="J139" s="45" t="s">
        <v>617</v>
      </c>
      <c r="K139" s="58" t="s">
        <v>626</v>
      </c>
      <c r="L139" s="58" t="s">
        <v>627</v>
      </c>
      <c r="M139" s="59" t="s">
        <v>628</v>
      </c>
      <c r="N139" s="62"/>
    </row>
    <row r="140" spans="1:14" s="61" customFormat="1">
      <c r="A140" s="55">
        <v>134</v>
      </c>
      <c r="B140" s="59" t="s">
        <v>613</v>
      </c>
      <c r="C140" s="65"/>
      <c r="D140" s="73" t="s">
        <v>519</v>
      </c>
      <c r="E140" s="40" t="s">
        <v>614</v>
      </c>
      <c r="F140" s="40" t="s">
        <v>623</v>
      </c>
      <c r="G140" s="55">
        <v>1</v>
      </c>
      <c r="H140" s="74" t="s">
        <v>519</v>
      </c>
      <c r="I140" s="58" t="s">
        <v>616</v>
      </c>
      <c r="J140" s="45" t="s">
        <v>617</v>
      </c>
      <c r="K140" s="58" t="s">
        <v>626</v>
      </c>
      <c r="L140" s="58" t="s">
        <v>627</v>
      </c>
      <c r="M140" s="59" t="s">
        <v>628</v>
      </c>
      <c r="N140" s="62"/>
    </row>
    <row r="141" spans="1:14" s="61" customFormat="1">
      <c r="A141" s="55">
        <v>135</v>
      </c>
      <c r="B141" s="59" t="s">
        <v>613</v>
      </c>
      <c r="C141" s="65"/>
      <c r="D141" s="73" t="s">
        <v>580</v>
      </c>
      <c r="E141" s="40" t="s">
        <v>614</v>
      </c>
      <c r="F141" s="40" t="s">
        <v>623</v>
      </c>
      <c r="G141" s="55">
        <v>1</v>
      </c>
      <c r="H141" s="74" t="s">
        <v>580</v>
      </c>
      <c r="I141" s="58" t="s">
        <v>616</v>
      </c>
      <c r="J141" s="45" t="s">
        <v>617</v>
      </c>
      <c r="K141" s="58" t="s">
        <v>626</v>
      </c>
      <c r="L141" s="58" t="s">
        <v>627</v>
      </c>
      <c r="M141" s="59" t="s">
        <v>628</v>
      </c>
      <c r="N141" s="62"/>
    </row>
    <row r="142" spans="1:14" s="61" customFormat="1">
      <c r="A142" s="55">
        <v>136</v>
      </c>
      <c r="B142" s="59" t="s">
        <v>613</v>
      </c>
      <c r="C142" s="65"/>
      <c r="D142" s="56" t="s">
        <v>502</v>
      </c>
      <c r="E142" s="40" t="s">
        <v>614</v>
      </c>
      <c r="F142" s="40" t="s">
        <v>615</v>
      </c>
      <c r="G142" s="55">
        <v>1</v>
      </c>
      <c r="H142" s="55" t="s">
        <v>502</v>
      </c>
      <c r="I142" s="58" t="s">
        <v>616</v>
      </c>
      <c r="J142" s="45" t="s">
        <v>617</v>
      </c>
      <c r="K142" s="58" t="s">
        <v>629</v>
      </c>
      <c r="L142" s="58" t="s">
        <v>630</v>
      </c>
      <c r="M142" s="59" t="s">
        <v>631</v>
      </c>
      <c r="N142" s="62"/>
    </row>
    <row r="143" spans="1:14" s="61" customFormat="1">
      <c r="A143" s="55">
        <v>137</v>
      </c>
      <c r="B143" s="59" t="s">
        <v>613</v>
      </c>
      <c r="C143" s="65"/>
      <c r="D143" s="56" t="s">
        <v>632</v>
      </c>
      <c r="E143" s="40" t="s">
        <v>614</v>
      </c>
      <c r="F143" s="40" t="s">
        <v>623</v>
      </c>
      <c r="G143" s="55">
        <v>1</v>
      </c>
      <c r="H143" s="55" t="s">
        <v>632</v>
      </c>
      <c r="I143" s="58" t="s">
        <v>616</v>
      </c>
      <c r="J143" s="45" t="s">
        <v>617</v>
      </c>
      <c r="K143" s="58" t="s">
        <v>633</v>
      </c>
      <c r="L143" s="58" t="s">
        <v>172</v>
      </c>
      <c r="M143" s="59" t="s">
        <v>634</v>
      </c>
      <c r="N143" s="62"/>
    </row>
    <row r="144" spans="1:14" s="61" customFormat="1">
      <c r="A144" s="55">
        <v>138</v>
      </c>
      <c r="B144" s="59" t="s">
        <v>613</v>
      </c>
      <c r="C144" s="65"/>
      <c r="D144" s="56" t="s">
        <v>515</v>
      </c>
      <c r="E144" s="40" t="s">
        <v>614</v>
      </c>
      <c r="F144" s="40" t="s">
        <v>623</v>
      </c>
      <c r="G144" s="55">
        <v>1</v>
      </c>
      <c r="H144" s="55" t="s">
        <v>515</v>
      </c>
      <c r="I144" s="58" t="s">
        <v>616</v>
      </c>
      <c r="J144" s="45" t="s">
        <v>617</v>
      </c>
      <c r="K144" s="58" t="s">
        <v>635</v>
      </c>
      <c r="L144" s="58" t="s">
        <v>166</v>
      </c>
      <c r="M144" s="59" t="s">
        <v>636</v>
      </c>
      <c r="N144" s="62"/>
    </row>
    <row r="145" spans="1:14" s="61" customFormat="1">
      <c r="A145" s="55">
        <v>139</v>
      </c>
      <c r="B145" s="59" t="s">
        <v>613</v>
      </c>
      <c r="C145" s="65"/>
      <c r="D145" s="56" t="s">
        <v>597</v>
      </c>
      <c r="E145" s="40" t="s">
        <v>614</v>
      </c>
      <c r="F145" s="40" t="s">
        <v>623</v>
      </c>
      <c r="G145" s="55">
        <v>1</v>
      </c>
      <c r="H145" s="55" t="s">
        <v>597</v>
      </c>
      <c r="I145" s="58" t="s">
        <v>616</v>
      </c>
      <c r="J145" s="45" t="s">
        <v>617</v>
      </c>
      <c r="K145" s="58" t="s">
        <v>637</v>
      </c>
      <c r="L145" s="58" t="s">
        <v>184</v>
      </c>
      <c r="M145" s="59" t="s">
        <v>638</v>
      </c>
      <c r="N145" s="62"/>
    </row>
    <row r="146" spans="1:14" s="61" customFormat="1">
      <c r="A146" s="55">
        <v>140</v>
      </c>
      <c r="B146" s="59" t="s">
        <v>613</v>
      </c>
      <c r="C146" s="65"/>
      <c r="D146" s="56" t="s">
        <v>557</v>
      </c>
      <c r="E146" s="40" t="s">
        <v>614</v>
      </c>
      <c r="F146" s="40" t="s">
        <v>623</v>
      </c>
      <c r="G146" s="55">
        <v>1</v>
      </c>
      <c r="H146" s="55" t="s">
        <v>557</v>
      </c>
      <c r="I146" s="58" t="s">
        <v>616</v>
      </c>
      <c r="J146" s="45" t="s">
        <v>617</v>
      </c>
      <c r="K146" s="58" t="s">
        <v>639</v>
      </c>
      <c r="L146" s="58" t="s">
        <v>630</v>
      </c>
      <c r="M146" s="59" t="s">
        <v>640</v>
      </c>
      <c r="N146" s="62"/>
    </row>
    <row r="147" spans="1:14" s="61" customFormat="1">
      <c r="A147" s="55">
        <v>141</v>
      </c>
      <c r="B147" s="59" t="s">
        <v>613</v>
      </c>
      <c r="C147" s="65"/>
      <c r="D147" s="56" t="s">
        <v>532</v>
      </c>
      <c r="E147" s="40" t="s">
        <v>614</v>
      </c>
      <c r="F147" s="40" t="s">
        <v>615</v>
      </c>
      <c r="G147" s="55">
        <v>1</v>
      </c>
      <c r="H147" s="55" t="s">
        <v>532</v>
      </c>
      <c r="I147" s="58" t="s">
        <v>616</v>
      </c>
      <c r="J147" s="45" t="s">
        <v>617</v>
      </c>
      <c r="K147" s="58" t="s">
        <v>641</v>
      </c>
      <c r="L147" s="58" t="s">
        <v>630</v>
      </c>
      <c r="M147" s="59" t="s">
        <v>642</v>
      </c>
      <c r="N147" s="62"/>
    </row>
    <row r="148" spans="1:14" s="61" customFormat="1">
      <c r="A148" s="55">
        <v>142</v>
      </c>
      <c r="B148" s="59" t="s">
        <v>613</v>
      </c>
      <c r="C148" s="65"/>
      <c r="D148" s="56" t="s">
        <v>632</v>
      </c>
      <c r="E148" s="40" t="s">
        <v>614</v>
      </c>
      <c r="F148" s="40" t="s">
        <v>615</v>
      </c>
      <c r="G148" s="55">
        <v>1</v>
      </c>
      <c r="H148" s="55" t="s">
        <v>632</v>
      </c>
      <c r="I148" s="58" t="s">
        <v>616</v>
      </c>
      <c r="J148" s="45" t="s">
        <v>617</v>
      </c>
      <c r="K148" s="58" t="s">
        <v>643</v>
      </c>
      <c r="L148" s="58" t="s">
        <v>630</v>
      </c>
      <c r="M148" s="59" t="s">
        <v>644</v>
      </c>
      <c r="N148" s="62"/>
    </row>
    <row r="149" spans="1:14" s="61" customFormat="1">
      <c r="A149" s="55">
        <v>143</v>
      </c>
      <c r="B149" s="59" t="s">
        <v>613</v>
      </c>
      <c r="C149" s="65"/>
      <c r="D149" s="56" t="s">
        <v>504</v>
      </c>
      <c r="E149" s="40" t="s">
        <v>614</v>
      </c>
      <c r="F149" s="40" t="s">
        <v>623</v>
      </c>
      <c r="G149" s="55">
        <v>1</v>
      </c>
      <c r="H149" s="55" t="s">
        <v>504</v>
      </c>
      <c r="I149" s="58" t="s">
        <v>616</v>
      </c>
      <c r="J149" s="45" t="s">
        <v>617</v>
      </c>
      <c r="K149" s="58" t="s">
        <v>645</v>
      </c>
      <c r="L149" s="58" t="s">
        <v>630</v>
      </c>
      <c r="M149" s="59" t="s">
        <v>646</v>
      </c>
      <c r="N149" s="62"/>
    </row>
    <row r="150" spans="1:14" s="61" customFormat="1">
      <c r="A150" s="55">
        <v>144</v>
      </c>
      <c r="B150" s="59" t="s">
        <v>613</v>
      </c>
      <c r="C150" s="65"/>
      <c r="D150" s="56" t="s">
        <v>492</v>
      </c>
      <c r="E150" s="40" t="s">
        <v>614</v>
      </c>
      <c r="F150" s="40" t="s">
        <v>623</v>
      </c>
      <c r="G150" s="55">
        <v>1</v>
      </c>
      <c r="H150" s="55" t="s">
        <v>492</v>
      </c>
      <c r="I150" s="58" t="s">
        <v>616</v>
      </c>
      <c r="J150" s="45" t="s">
        <v>617</v>
      </c>
      <c r="K150" s="58" t="s">
        <v>647</v>
      </c>
      <c r="L150" s="58" t="s">
        <v>630</v>
      </c>
      <c r="M150" s="59" t="s">
        <v>648</v>
      </c>
      <c r="N150" s="62"/>
    </row>
    <row r="151" spans="1:14" s="61" customFormat="1">
      <c r="A151" s="55">
        <v>145</v>
      </c>
      <c r="B151" s="59" t="s">
        <v>613</v>
      </c>
      <c r="C151" s="65"/>
      <c r="D151" s="56" t="s">
        <v>537</v>
      </c>
      <c r="E151" s="40" t="s">
        <v>614</v>
      </c>
      <c r="F151" s="40" t="s">
        <v>623</v>
      </c>
      <c r="G151" s="55">
        <v>1</v>
      </c>
      <c r="H151" s="55" t="s">
        <v>537</v>
      </c>
      <c r="I151" s="58" t="s">
        <v>616</v>
      </c>
      <c r="J151" s="45" t="s">
        <v>617</v>
      </c>
      <c r="K151" s="58" t="s">
        <v>649</v>
      </c>
      <c r="L151" s="58" t="s">
        <v>630</v>
      </c>
      <c r="M151" s="59" t="s">
        <v>650</v>
      </c>
      <c r="N151" s="62"/>
    </row>
    <row r="152" spans="1:14" s="61" customFormat="1">
      <c r="A152" s="55">
        <v>146</v>
      </c>
      <c r="B152" s="59" t="s">
        <v>613</v>
      </c>
      <c r="C152" s="65"/>
      <c r="D152" s="56" t="s">
        <v>561</v>
      </c>
      <c r="E152" s="40" t="s">
        <v>614</v>
      </c>
      <c r="F152" s="40" t="s">
        <v>623</v>
      </c>
      <c r="G152" s="55">
        <v>1</v>
      </c>
      <c r="H152" s="55" t="s">
        <v>561</v>
      </c>
      <c r="I152" s="58" t="s">
        <v>616</v>
      </c>
      <c r="J152" s="45" t="s">
        <v>617</v>
      </c>
      <c r="K152" s="58" t="s">
        <v>651</v>
      </c>
      <c r="L152" s="58" t="s">
        <v>630</v>
      </c>
      <c r="M152" s="59" t="s">
        <v>652</v>
      </c>
      <c r="N152" s="62"/>
    </row>
    <row r="153" spans="1:14" s="61" customFormat="1">
      <c r="A153" s="55">
        <v>147</v>
      </c>
      <c r="B153" s="59" t="s">
        <v>613</v>
      </c>
      <c r="C153" s="65"/>
      <c r="D153" s="56" t="s">
        <v>605</v>
      </c>
      <c r="E153" s="40" t="s">
        <v>614</v>
      </c>
      <c r="F153" s="40" t="s">
        <v>623</v>
      </c>
      <c r="G153" s="55">
        <v>1</v>
      </c>
      <c r="H153" s="55" t="s">
        <v>605</v>
      </c>
      <c r="I153" s="58" t="s">
        <v>616</v>
      </c>
      <c r="J153" s="45" t="s">
        <v>617</v>
      </c>
      <c r="K153" s="58" t="s">
        <v>653</v>
      </c>
      <c r="L153" s="58" t="s">
        <v>630</v>
      </c>
      <c r="M153" s="59" t="s">
        <v>654</v>
      </c>
      <c r="N153" s="62"/>
    </row>
    <row r="154" spans="1:14" s="61" customFormat="1">
      <c r="A154" s="55">
        <v>148</v>
      </c>
      <c r="B154" s="59" t="s">
        <v>613</v>
      </c>
      <c r="C154" s="65"/>
      <c r="D154" s="56" t="s">
        <v>498</v>
      </c>
      <c r="E154" s="40" t="s">
        <v>614</v>
      </c>
      <c r="F154" s="40" t="s">
        <v>623</v>
      </c>
      <c r="G154" s="55">
        <v>1</v>
      </c>
      <c r="H154" s="55" t="s">
        <v>498</v>
      </c>
      <c r="I154" s="58" t="s">
        <v>616</v>
      </c>
      <c r="J154" s="45" t="s">
        <v>617</v>
      </c>
      <c r="K154" s="58" t="s">
        <v>655</v>
      </c>
      <c r="L154" s="58" t="s">
        <v>630</v>
      </c>
      <c r="M154" s="59" t="s">
        <v>656</v>
      </c>
      <c r="N154" s="62"/>
    </row>
    <row r="155" spans="1:14" s="61" customFormat="1">
      <c r="A155" s="55">
        <v>149</v>
      </c>
      <c r="B155" s="59" t="s">
        <v>613</v>
      </c>
      <c r="C155" s="65"/>
      <c r="D155" s="56" t="s">
        <v>609</v>
      </c>
      <c r="E155" s="40" t="s">
        <v>614</v>
      </c>
      <c r="F155" s="40" t="s">
        <v>623</v>
      </c>
      <c r="G155" s="55">
        <v>1</v>
      </c>
      <c r="H155" s="55" t="s">
        <v>609</v>
      </c>
      <c r="I155" s="58" t="s">
        <v>616</v>
      </c>
      <c r="J155" s="45" t="s">
        <v>617</v>
      </c>
      <c r="K155" s="58" t="s">
        <v>657</v>
      </c>
      <c r="L155" s="58" t="s">
        <v>630</v>
      </c>
      <c r="M155" s="59" t="s">
        <v>658</v>
      </c>
      <c r="N155" s="62"/>
    </row>
    <row r="156" spans="1:14" s="61" customFormat="1">
      <c r="A156" s="55">
        <v>150</v>
      </c>
      <c r="B156" s="59" t="s">
        <v>613</v>
      </c>
      <c r="C156" s="65"/>
      <c r="D156" s="56" t="s">
        <v>592</v>
      </c>
      <c r="E156" s="40" t="s">
        <v>614</v>
      </c>
      <c r="F156" s="40" t="s">
        <v>615</v>
      </c>
      <c r="G156" s="55">
        <v>1</v>
      </c>
      <c r="H156" s="55" t="s">
        <v>592</v>
      </c>
      <c r="I156" s="58" t="s">
        <v>616</v>
      </c>
      <c r="J156" s="45" t="s">
        <v>617</v>
      </c>
      <c r="K156" s="58" t="s">
        <v>659</v>
      </c>
      <c r="L156" s="58" t="s">
        <v>630</v>
      </c>
      <c r="M156" s="59" t="s">
        <v>660</v>
      </c>
      <c r="N156" s="62"/>
    </row>
    <row r="157" spans="1:14" s="61" customFormat="1">
      <c r="A157" s="55">
        <v>151</v>
      </c>
      <c r="B157" s="59" t="s">
        <v>613</v>
      </c>
      <c r="C157" s="65"/>
      <c r="D157" s="56" t="s">
        <v>545</v>
      </c>
      <c r="E157" s="40" t="s">
        <v>614</v>
      </c>
      <c r="F157" s="40" t="s">
        <v>615</v>
      </c>
      <c r="G157" s="55">
        <v>1</v>
      </c>
      <c r="H157" s="55" t="s">
        <v>545</v>
      </c>
      <c r="I157" s="58" t="s">
        <v>616</v>
      </c>
      <c r="J157" s="45" t="s">
        <v>617</v>
      </c>
      <c r="K157" s="58" t="s">
        <v>661</v>
      </c>
      <c r="L157" s="58" t="s">
        <v>630</v>
      </c>
      <c r="M157" s="59" t="s">
        <v>662</v>
      </c>
      <c r="N157" s="62"/>
    </row>
    <row r="158" spans="1:14" s="61" customFormat="1">
      <c r="A158" s="55">
        <v>152</v>
      </c>
      <c r="B158" s="59" t="s">
        <v>613</v>
      </c>
      <c r="C158" s="65"/>
      <c r="D158" s="56" t="s">
        <v>573</v>
      </c>
      <c r="E158" s="40" t="s">
        <v>614</v>
      </c>
      <c r="F158" s="40" t="s">
        <v>623</v>
      </c>
      <c r="G158" s="55">
        <v>1</v>
      </c>
      <c r="H158" s="55" t="s">
        <v>573</v>
      </c>
      <c r="I158" s="58" t="s">
        <v>616</v>
      </c>
      <c r="J158" s="45" t="s">
        <v>617</v>
      </c>
      <c r="K158" s="58" t="s">
        <v>663</v>
      </c>
      <c r="L158" s="58" t="s">
        <v>630</v>
      </c>
      <c r="M158" s="59" t="s">
        <v>664</v>
      </c>
      <c r="N158" s="62"/>
    </row>
    <row r="159" spans="1:14" s="61" customFormat="1">
      <c r="A159" s="55">
        <v>153</v>
      </c>
      <c r="B159" s="59" t="s">
        <v>613</v>
      </c>
      <c r="C159" s="65"/>
      <c r="D159" s="56" t="s">
        <v>588</v>
      </c>
      <c r="E159" s="40" t="s">
        <v>614</v>
      </c>
      <c r="F159" s="40" t="s">
        <v>623</v>
      </c>
      <c r="G159" s="55">
        <v>1</v>
      </c>
      <c r="H159" s="55" t="s">
        <v>588</v>
      </c>
      <c r="I159" s="58" t="s">
        <v>616</v>
      </c>
      <c r="J159" s="45" t="s">
        <v>617</v>
      </c>
      <c r="K159" s="58" t="s">
        <v>665</v>
      </c>
      <c r="L159" s="58" t="s">
        <v>630</v>
      </c>
      <c r="M159" s="59" t="s">
        <v>666</v>
      </c>
      <c r="N159" s="62"/>
    </row>
    <row r="160" spans="1:14" s="61" customFormat="1">
      <c r="A160" s="55">
        <v>154</v>
      </c>
      <c r="B160" s="59" t="s">
        <v>613</v>
      </c>
      <c r="C160" s="65"/>
      <c r="D160" s="56" t="s">
        <v>508</v>
      </c>
      <c r="E160" s="40" t="s">
        <v>614</v>
      </c>
      <c r="F160" s="40" t="s">
        <v>620</v>
      </c>
      <c r="G160" s="55">
        <v>1</v>
      </c>
      <c r="H160" s="55" t="s">
        <v>508</v>
      </c>
      <c r="I160" s="58" t="s">
        <v>616</v>
      </c>
      <c r="J160" s="45" t="s">
        <v>617</v>
      </c>
      <c r="K160" s="58" t="s">
        <v>667</v>
      </c>
      <c r="L160" s="58" t="s">
        <v>630</v>
      </c>
      <c r="M160" s="59" t="s">
        <v>668</v>
      </c>
      <c r="N160" s="62"/>
    </row>
    <row r="161" spans="1:14" s="61" customFormat="1">
      <c r="A161" s="55">
        <v>155</v>
      </c>
      <c r="B161" s="59" t="s">
        <v>613</v>
      </c>
      <c r="C161" s="65"/>
      <c r="D161" s="56" t="s">
        <v>584</v>
      </c>
      <c r="E161" s="40" t="s">
        <v>614</v>
      </c>
      <c r="F161" s="40" t="s">
        <v>615</v>
      </c>
      <c r="G161" s="55">
        <v>1</v>
      </c>
      <c r="H161" s="55" t="s">
        <v>584</v>
      </c>
      <c r="I161" s="58" t="s">
        <v>616</v>
      </c>
      <c r="J161" s="45" t="s">
        <v>617</v>
      </c>
      <c r="K161" s="58" t="s">
        <v>669</v>
      </c>
      <c r="L161" s="58" t="s">
        <v>630</v>
      </c>
      <c r="M161" s="59" t="s">
        <v>670</v>
      </c>
      <c r="N161" s="62"/>
    </row>
    <row r="162" spans="1:14" s="61" customFormat="1">
      <c r="A162" s="55">
        <v>156</v>
      </c>
      <c r="B162" s="59" t="s">
        <v>613</v>
      </c>
      <c r="C162" s="65"/>
      <c r="D162" s="56" t="s">
        <v>569</v>
      </c>
      <c r="E162" s="40" t="s">
        <v>614</v>
      </c>
      <c r="F162" s="40" t="s">
        <v>623</v>
      </c>
      <c r="G162" s="55">
        <v>1</v>
      </c>
      <c r="H162" s="55" t="s">
        <v>569</v>
      </c>
      <c r="I162" s="58" t="s">
        <v>616</v>
      </c>
      <c r="J162" s="45" t="s">
        <v>617</v>
      </c>
      <c r="K162" s="58" t="s">
        <v>671</v>
      </c>
      <c r="L162" s="58" t="s">
        <v>460</v>
      </c>
      <c r="M162" s="59" t="s">
        <v>672</v>
      </c>
      <c r="N162" s="62"/>
    </row>
    <row r="163" spans="1:14" s="61" customFormat="1">
      <c r="A163" s="55">
        <v>157</v>
      </c>
      <c r="B163" s="59" t="s">
        <v>613</v>
      </c>
      <c r="C163" s="65"/>
      <c r="D163" s="56" t="s">
        <v>553</v>
      </c>
      <c r="E163" s="40" t="s">
        <v>614</v>
      </c>
      <c r="F163" s="40" t="s">
        <v>623</v>
      </c>
      <c r="G163" s="55">
        <v>1</v>
      </c>
      <c r="H163" s="55" t="s">
        <v>553</v>
      </c>
      <c r="I163" s="58" t="s">
        <v>616</v>
      </c>
      <c r="J163" s="45" t="s">
        <v>617</v>
      </c>
      <c r="K163" s="58" t="s">
        <v>673</v>
      </c>
      <c r="L163" s="58" t="s">
        <v>460</v>
      </c>
      <c r="M163" s="59" t="s">
        <v>674</v>
      </c>
      <c r="N163" s="62"/>
    </row>
    <row r="164" spans="1:14" s="61" customFormat="1">
      <c r="A164" s="55">
        <v>158</v>
      </c>
      <c r="B164" s="59" t="s">
        <v>613</v>
      </c>
      <c r="C164" s="65"/>
      <c r="D164" s="56"/>
      <c r="E164" s="40" t="s">
        <v>614</v>
      </c>
      <c r="F164" s="40" t="s">
        <v>623</v>
      </c>
      <c r="G164" s="55">
        <v>1</v>
      </c>
      <c r="H164" s="78"/>
      <c r="I164" s="58" t="s">
        <v>616</v>
      </c>
      <c r="J164" s="45" t="s">
        <v>617</v>
      </c>
      <c r="K164" s="58" t="s">
        <v>675</v>
      </c>
      <c r="L164" s="58" t="s">
        <v>460</v>
      </c>
      <c r="M164" s="59" t="s">
        <v>676</v>
      </c>
      <c r="N164" s="62"/>
    </row>
    <row r="165" spans="1:14" s="61" customFormat="1">
      <c r="A165" s="55">
        <v>159</v>
      </c>
      <c r="B165" s="59" t="s">
        <v>613</v>
      </c>
      <c r="C165" s="65"/>
      <c r="D165" s="56"/>
      <c r="E165" s="40" t="s">
        <v>614</v>
      </c>
      <c r="F165" s="40" t="s">
        <v>623</v>
      </c>
      <c r="G165" s="55">
        <v>1</v>
      </c>
      <c r="H165" s="78"/>
      <c r="I165" s="58" t="s">
        <v>616</v>
      </c>
      <c r="J165" s="45" t="s">
        <v>617</v>
      </c>
      <c r="K165" s="58" t="s">
        <v>677</v>
      </c>
      <c r="L165" s="58" t="s">
        <v>460</v>
      </c>
      <c r="M165" s="59" t="s">
        <v>678</v>
      </c>
      <c r="N165" s="62"/>
    </row>
    <row r="166" spans="1:14" s="61" customFormat="1">
      <c r="A166" s="55">
        <v>160</v>
      </c>
      <c r="B166" s="59" t="s">
        <v>613</v>
      </c>
      <c r="C166" s="65"/>
      <c r="D166" s="56"/>
      <c r="E166" s="40" t="s">
        <v>614</v>
      </c>
      <c r="F166" s="40" t="s">
        <v>623</v>
      </c>
      <c r="G166" s="55">
        <v>1</v>
      </c>
      <c r="H166" s="78"/>
      <c r="I166" s="58" t="s">
        <v>616</v>
      </c>
      <c r="J166" s="45" t="s">
        <v>617</v>
      </c>
      <c r="K166" s="58" t="s">
        <v>679</v>
      </c>
      <c r="L166" s="58" t="s">
        <v>460</v>
      </c>
      <c r="M166" s="59" t="s">
        <v>680</v>
      </c>
      <c r="N166" s="62"/>
    </row>
    <row r="167" spans="1:14" s="61" customFormat="1">
      <c r="A167" s="55">
        <v>161</v>
      </c>
      <c r="B167" s="59" t="s">
        <v>681</v>
      </c>
      <c r="C167" s="65"/>
      <c r="D167" s="56" t="s">
        <v>682</v>
      </c>
      <c r="E167" s="72" t="s">
        <v>616</v>
      </c>
      <c r="F167" s="40" t="s">
        <v>683</v>
      </c>
      <c r="G167" s="55">
        <v>1</v>
      </c>
      <c r="H167" s="55" t="s">
        <v>682</v>
      </c>
      <c r="I167" s="58" t="s">
        <v>616</v>
      </c>
      <c r="J167" s="45" t="s">
        <v>684</v>
      </c>
      <c r="K167" s="58" t="s">
        <v>685</v>
      </c>
      <c r="L167" s="58" t="s">
        <v>374</v>
      </c>
      <c r="M167" s="59" t="s">
        <v>686</v>
      </c>
      <c r="N167" s="60">
        <f>SUM(G167:G202)</f>
        <v>36</v>
      </c>
    </row>
    <row r="168" spans="1:14" s="61" customFormat="1">
      <c r="A168" s="55">
        <v>162</v>
      </c>
      <c r="B168" s="59" t="s">
        <v>681</v>
      </c>
      <c r="C168" s="65"/>
      <c r="D168" s="56" t="s">
        <v>687</v>
      </c>
      <c r="E168" s="72" t="s">
        <v>616</v>
      </c>
      <c r="F168" s="40" t="s">
        <v>683</v>
      </c>
      <c r="G168" s="55">
        <v>1</v>
      </c>
      <c r="H168" s="55" t="s">
        <v>687</v>
      </c>
      <c r="I168" s="58" t="s">
        <v>616</v>
      </c>
      <c r="J168" s="45" t="s">
        <v>684</v>
      </c>
      <c r="K168" s="58" t="s">
        <v>685</v>
      </c>
      <c r="L168" s="58" t="s">
        <v>374</v>
      </c>
      <c r="M168" s="59" t="s">
        <v>686</v>
      </c>
      <c r="N168" s="62"/>
    </row>
    <row r="169" spans="1:14" s="61" customFormat="1">
      <c r="A169" s="55">
        <v>163</v>
      </c>
      <c r="B169" s="59" t="s">
        <v>681</v>
      </c>
      <c r="C169" s="65"/>
      <c r="D169" s="56" t="s">
        <v>688</v>
      </c>
      <c r="E169" s="72" t="s">
        <v>616</v>
      </c>
      <c r="F169" s="40" t="s">
        <v>689</v>
      </c>
      <c r="G169" s="55">
        <v>1</v>
      </c>
      <c r="H169" s="55" t="s">
        <v>688</v>
      </c>
      <c r="I169" s="58" t="s">
        <v>616</v>
      </c>
      <c r="J169" s="45" t="s">
        <v>684</v>
      </c>
      <c r="K169" s="58" t="s">
        <v>690</v>
      </c>
      <c r="L169" s="58" t="s">
        <v>374</v>
      </c>
      <c r="M169" s="59" t="s">
        <v>691</v>
      </c>
      <c r="N169" s="62"/>
    </row>
    <row r="170" spans="1:14" s="61" customFormat="1">
      <c r="A170" s="55">
        <v>164</v>
      </c>
      <c r="B170" s="59" t="s">
        <v>681</v>
      </c>
      <c r="C170" s="65"/>
      <c r="D170" s="56" t="s">
        <v>692</v>
      </c>
      <c r="E170" s="72" t="s">
        <v>616</v>
      </c>
      <c r="F170" s="40" t="s">
        <v>693</v>
      </c>
      <c r="G170" s="55">
        <v>1</v>
      </c>
      <c r="H170" s="55" t="s">
        <v>692</v>
      </c>
      <c r="I170" s="58" t="s">
        <v>616</v>
      </c>
      <c r="J170" s="45" t="s">
        <v>684</v>
      </c>
      <c r="K170" s="58" t="s">
        <v>694</v>
      </c>
      <c r="L170" s="58" t="s">
        <v>374</v>
      </c>
      <c r="M170" s="59" t="s">
        <v>695</v>
      </c>
      <c r="N170" s="62"/>
    </row>
    <row r="171" spans="1:14" s="61" customFormat="1">
      <c r="A171" s="55">
        <v>165</v>
      </c>
      <c r="B171" s="59" t="s">
        <v>681</v>
      </c>
      <c r="C171" s="65"/>
      <c r="D171" s="56" t="s">
        <v>696</v>
      </c>
      <c r="E171" s="72" t="s">
        <v>616</v>
      </c>
      <c r="F171" s="40" t="s">
        <v>693</v>
      </c>
      <c r="G171" s="55">
        <v>1</v>
      </c>
      <c r="H171" s="55" t="s">
        <v>696</v>
      </c>
      <c r="I171" s="58" t="s">
        <v>616</v>
      </c>
      <c r="J171" s="45" t="s">
        <v>684</v>
      </c>
      <c r="K171" s="58" t="s">
        <v>694</v>
      </c>
      <c r="L171" s="58" t="s">
        <v>374</v>
      </c>
      <c r="M171" s="59" t="s">
        <v>695</v>
      </c>
      <c r="N171" s="62"/>
    </row>
    <row r="172" spans="1:14" s="61" customFormat="1">
      <c r="A172" s="55">
        <v>166</v>
      </c>
      <c r="B172" s="59" t="s">
        <v>681</v>
      </c>
      <c r="C172" s="65"/>
      <c r="D172" s="56" t="s">
        <v>697</v>
      </c>
      <c r="E172" s="72" t="s">
        <v>616</v>
      </c>
      <c r="F172" s="40" t="s">
        <v>698</v>
      </c>
      <c r="G172" s="55">
        <v>1</v>
      </c>
      <c r="H172" s="55" t="s">
        <v>697</v>
      </c>
      <c r="I172" s="58" t="s">
        <v>616</v>
      </c>
      <c r="J172" s="45" t="s">
        <v>684</v>
      </c>
      <c r="K172" s="58" t="s">
        <v>699</v>
      </c>
      <c r="L172" s="58" t="s">
        <v>172</v>
      </c>
      <c r="M172" s="59" t="s">
        <v>700</v>
      </c>
      <c r="N172" s="62"/>
    </row>
    <row r="173" spans="1:14" s="61" customFormat="1">
      <c r="A173" s="55">
        <v>167</v>
      </c>
      <c r="B173" s="59" t="s">
        <v>681</v>
      </c>
      <c r="C173" s="65"/>
      <c r="D173" s="56" t="s">
        <v>701</v>
      </c>
      <c r="E173" s="72" t="s">
        <v>616</v>
      </c>
      <c r="F173" s="40" t="s">
        <v>689</v>
      </c>
      <c r="G173" s="55">
        <v>1</v>
      </c>
      <c r="H173" s="55" t="s">
        <v>701</v>
      </c>
      <c r="I173" s="58" t="s">
        <v>702</v>
      </c>
      <c r="J173" s="45" t="s">
        <v>684</v>
      </c>
      <c r="K173" s="58" t="s">
        <v>703</v>
      </c>
      <c r="L173" s="58" t="s">
        <v>166</v>
      </c>
      <c r="M173" s="59" t="s">
        <v>704</v>
      </c>
      <c r="N173" s="62"/>
    </row>
    <row r="174" spans="1:14" s="61" customFormat="1">
      <c r="A174" s="55">
        <v>168</v>
      </c>
      <c r="B174" s="59" t="s">
        <v>681</v>
      </c>
      <c r="C174" s="65"/>
      <c r="D174" s="56" t="s">
        <v>705</v>
      </c>
      <c r="E174" s="72" t="s">
        <v>616</v>
      </c>
      <c r="F174" s="40" t="s">
        <v>689</v>
      </c>
      <c r="G174" s="55">
        <v>1</v>
      </c>
      <c r="H174" s="55" t="s">
        <v>705</v>
      </c>
      <c r="I174" s="58" t="s">
        <v>706</v>
      </c>
      <c r="J174" s="45" t="s">
        <v>684</v>
      </c>
      <c r="K174" s="58" t="s">
        <v>703</v>
      </c>
      <c r="L174" s="58" t="s">
        <v>166</v>
      </c>
      <c r="M174" s="59" t="s">
        <v>704</v>
      </c>
      <c r="N174" s="62"/>
    </row>
    <row r="175" spans="1:14" s="61" customFormat="1">
      <c r="A175" s="55">
        <v>169</v>
      </c>
      <c r="B175" s="59" t="s">
        <v>681</v>
      </c>
      <c r="C175" s="65"/>
      <c r="D175" s="56" t="s">
        <v>707</v>
      </c>
      <c r="E175" s="72" t="s">
        <v>616</v>
      </c>
      <c r="F175" s="40" t="s">
        <v>689</v>
      </c>
      <c r="G175" s="55">
        <v>1</v>
      </c>
      <c r="H175" s="55" t="s">
        <v>707</v>
      </c>
      <c r="I175" s="58" t="s">
        <v>708</v>
      </c>
      <c r="J175" s="45" t="s">
        <v>684</v>
      </c>
      <c r="K175" s="58" t="s">
        <v>703</v>
      </c>
      <c r="L175" s="58" t="s">
        <v>166</v>
      </c>
      <c r="M175" s="59" t="s">
        <v>704</v>
      </c>
      <c r="N175" s="62"/>
    </row>
    <row r="176" spans="1:14" s="61" customFormat="1">
      <c r="A176" s="55">
        <v>170</v>
      </c>
      <c r="B176" s="59" t="s">
        <v>681</v>
      </c>
      <c r="C176" s="65"/>
      <c r="D176" s="56" t="s">
        <v>709</v>
      </c>
      <c r="E176" s="72" t="s">
        <v>616</v>
      </c>
      <c r="F176" s="40" t="s">
        <v>710</v>
      </c>
      <c r="G176" s="55">
        <v>1</v>
      </c>
      <c r="H176" s="55" t="s">
        <v>709</v>
      </c>
      <c r="I176" s="58" t="s">
        <v>711</v>
      </c>
      <c r="J176" s="45" t="s">
        <v>684</v>
      </c>
      <c r="K176" s="58" t="s">
        <v>712</v>
      </c>
      <c r="L176" s="58" t="s">
        <v>166</v>
      </c>
      <c r="M176" s="59" t="s">
        <v>713</v>
      </c>
      <c r="N176" s="62"/>
    </row>
    <row r="177" spans="1:14" s="61" customFormat="1">
      <c r="A177" s="55">
        <v>171</v>
      </c>
      <c r="B177" s="59" t="s">
        <v>681</v>
      </c>
      <c r="C177" s="65"/>
      <c r="D177" s="56" t="s">
        <v>714</v>
      </c>
      <c r="E177" s="72" t="s">
        <v>616</v>
      </c>
      <c r="F177" s="40" t="s">
        <v>710</v>
      </c>
      <c r="G177" s="55">
        <v>1</v>
      </c>
      <c r="H177" s="55" t="s">
        <v>714</v>
      </c>
      <c r="I177" s="58" t="s">
        <v>715</v>
      </c>
      <c r="J177" s="45" t="s">
        <v>684</v>
      </c>
      <c r="K177" s="58" t="s">
        <v>716</v>
      </c>
      <c r="L177" s="58" t="s">
        <v>474</v>
      </c>
      <c r="M177" s="59" t="s">
        <v>717</v>
      </c>
      <c r="N177" s="62"/>
    </row>
    <row r="178" spans="1:14" s="61" customFormat="1">
      <c r="A178" s="55">
        <v>172</v>
      </c>
      <c r="B178" s="59" t="s">
        <v>681</v>
      </c>
      <c r="C178" s="65"/>
      <c r="D178" s="56"/>
      <c r="E178" s="72" t="s">
        <v>616</v>
      </c>
      <c r="F178" s="79"/>
      <c r="G178" s="55">
        <v>1</v>
      </c>
      <c r="H178" s="80"/>
      <c r="I178" s="68" t="s">
        <v>616</v>
      </c>
      <c r="J178" s="69" t="s">
        <v>684</v>
      </c>
      <c r="K178" s="58" t="s">
        <v>718</v>
      </c>
      <c r="L178" s="58" t="s">
        <v>184</v>
      </c>
      <c r="M178" s="59" t="s">
        <v>719</v>
      </c>
      <c r="N178" s="62"/>
    </row>
    <row r="179" spans="1:14" s="61" customFormat="1">
      <c r="A179" s="55">
        <v>173</v>
      </c>
      <c r="B179" s="59" t="s">
        <v>681</v>
      </c>
      <c r="C179" s="65"/>
      <c r="D179" s="56" t="s">
        <v>720</v>
      </c>
      <c r="E179" s="72" t="s">
        <v>616</v>
      </c>
      <c r="F179" s="40" t="s">
        <v>710</v>
      </c>
      <c r="G179" s="55">
        <v>1</v>
      </c>
      <c r="H179" s="55" t="s">
        <v>720</v>
      </c>
      <c r="I179" s="58" t="s">
        <v>721</v>
      </c>
      <c r="J179" s="45" t="s">
        <v>684</v>
      </c>
      <c r="K179" s="58" t="s">
        <v>722</v>
      </c>
      <c r="L179" s="58" t="s">
        <v>319</v>
      </c>
      <c r="M179" s="59" t="s">
        <v>723</v>
      </c>
      <c r="N179" s="62"/>
    </row>
    <row r="180" spans="1:14" s="61" customFormat="1">
      <c r="A180" s="55">
        <v>174</v>
      </c>
      <c r="B180" s="59" t="s">
        <v>681</v>
      </c>
      <c r="C180" s="65"/>
      <c r="D180" s="56" t="s">
        <v>724</v>
      </c>
      <c r="E180" s="72" t="s">
        <v>616</v>
      </c>
      <c r="F180" s="40" t="s">
        <v>725</v>
      </c>
      <c r="G180" s="55">
        <v>1</v>
      </c>
      <c r="H180" s="55" t="s">
        <v>724</v>
      </c>
      <c r="I180" s="58" t="s">
        <v>726</v>
      </c>
      <c r="J180" s="45" t="s">
        <v>684</v>
      </c>
      <c r="K180" s="58" t="s">
        <v>727</v>
      </c>
      <c r="L180" s="58" t="s">
        <v>319</v>
      </c>
      <c r="M180" s="59" t="s">
        <v>728</v>
      </c>
      <c r="N180" s="62"/>
    </row>
    <row r="181" spans="1:14" s="61" customFormat="1">
      <c r="A181" s="55">
        <v>175</v>
      </c>
      <c r="B181" s="59" t="s">
        <v>681</v>
      </c>
      <c r="C181" s="65"/>
      <c r="D181" s="56" t="s">
        <v>729</v>
      </c>
      <c r="E181" s="72" t="s">
        <v>616</v>
      </c>
      <c r="F181" s="40" t="s">
        <v>730</v>
      </c>
      <c r="G181" s="55">
        <v>1</v>
      </c>
      <c r="H181" s="55" t="s">
        <v>729</v>
      </c>
      <c r="I181" s="58" t="s">
        <v>731</v>
      </c>
      <c r="J181" s="45" t="s">
        <v>684</v>
      </c>
      <c r="K181" s="58" t="s">
        <v>732</v>
      </c>
      <c r="L181" s="58" t="s">
        <v>319</v>
      </c>
      <c r="M181" s="59" t="s">
        <v>733</v>
      </c>
      <c r="N181" s="62"/>
    </row>
    <row r="182" spans="1:14" s="61" customFormat="1">
      <c r="A182" s="55">
        <v>176</v>
      </c>
      <c r="B182" s="59" t="s">
        <v>681</v>
      </c>
      <c r="C182" s="65"/>
      <c r="D182" s="56"/>
      <c r="E182" s="72" t="s">
        <v>616</v>
      </c>
      <c r="F182" s="40" t="s">
        <v>710</v>
      </c>
      <c r="G182" s="55">
        <v>1</v>
      </c>
      <c r="H182" s="80"/>
      <c r="I182" s="68" t="s">
        <v>616</v>
      </c>
      <c r="J182" s="69" t="s">
        <v>684</v>
      </c>
      <c r="K182" s="58" t="s">
        <v>734</v>
      </c>
      <c r="L182" s="58" t="s">
        <v>319</v>
      </c>
      <c r="M182" s="59" t="s">
        <v>735</v>
      </c>
      <c r="N182" s="62"/>
    </row>
    <row r="183" spans="1:14" s="61" customFormat="1">
      <c r="A183" s="55">
        <v>177</v>
      </c>
      <c r="B183" s="59" t="s">
        <v>681</v>
      </c>
      <c r="C183" s="65"/>
      <c r="D183" s="56" t="s">
        <v>736</v>
      </c>
      <c r="E183" s="72" t="s">
        <v>616</v>
      </c>
      <c r="F183" s="40" t="s">
        <v>730</v>
      </c>
      <c r="G183" s="55">
        <v>1</v>
      </c>
      <c r="H183" s="55" t="s">
        <v>736</v>
      </c>
      <c r="I183" s="58" t="s">
        <v>737</v>
      </c>
      <c r="J183" s="45" t="s">
        <v>684</v>
      </c>
      <c r="K183" s="58" t="s">
        <v>738</v>
      </c>
      <c r="L183" s="58" t="s">
        <v>319</v>
      </c>
      <c r="M183" s="59" t="s">
        <v>739</v>
      </c>
      <c r="N183" s="62"/>
    </row>
    <row r="184" spans="1:14" s="61" customFormat="1">
      <c r="A184" s="55">
        <v>178</v>
      </c>
      <c r="B184" s="59" t="s">
        <v>681</v>
      </c>
      <c r="C184" s="65"/>
      <c r="D184" s="56"/>
      <c r="E184" s="72" t="s">
        <v>616</v>
      </c>
      <c r="F184" s="79"/>
      <c r="G184" s="55">
        <v>1</v>
      </c>
      <c r="H184" s="80"/>
      <c r="I184" s="68" t="s">
        <v>616</v>
      </c>
      <c r="J184" s="69" t="s">
        <v>684</v>
      </c>
      <c r="K184" s="58" t="s">
        <v>740</v>
      </c>
      <c r="L184" s="58" t="s">
        <v>319</v>
      </c>
      <c r="M184" s="59" t="s">
        <v>741</v>
      </c>
      <c r="N184" s="62"/>
    </row>
    <row r="185" spans="1:14" s="61" customFormat="1">
      <c r="A185" s="55">
        <v>179</v>
      </c>
      <c r="B185" s="59" t="s">
        <v>681</v>
      </c>
      <c r="C185" s="81"/>
      <c r="D185" s="56" t="s">
        <v>742</v>
      </c>
      <c r="E185" s="72" t="s">
        <v>616</v>
      </c>
      <c r="F185" s="40" t="s">
        <v>710</v>
      </c>
      <c r="G185" s="55">
        <v>1</v>
      </c>
      <c r="H185" s="55" t="s">
        <v>742</v>
      </c>
      <c r="I185" s="58" t="s">
        <v>743</v>
      </c>
      <c r="J185" s="45" t="s">
        <v>684</v>
      </c>
      <c r="K185" s="58" t="s">
        <v>744</v>
      </c>
      <c r="L185" s="58" t="s">
        <v>220</v>
      </c>
      <c r="M185" s="59" t="s">
        <v>745</v>
      </c>
      <c r="N185" s="62"/>
    </row>
    <row r="186" spans="1:14" s="61" customFormat="1">
      <c r="A186" s="55">
        <v>180</v>
      </c>
      <c r="B186" s="59" t="s">
        <v>681</v>
      </c>
      <c r="C186" s="65"/>
      <c r="D186" s="56" t="s">
        <v>746</v>
      </c>
      <c r="E186" s="72" t="s">
        <v>616</v>
      </c>
      <c r="F186" s="40" t="s">
        <v>710</v>
      </c>
      <c r="G186" s="55">
        <v>1</v>
      </c>
      <c r="H186" s="55" t="s">
        <v>746</v>
      </c>
      <c r="I186" s="58" t="s">
        <v>747</v>
      </c>
      <c r="J186" s="45" t="s">
        <v>684</v>
      </c>
      <c r="K186" s="58" t="s">
        <v>748</v>
      </c>
      <c r="L186" s="58" t="s">
        <v>220</v>
      </c>
      <c r="M186" s="59" t="s">
        <v>749</v>
      </c>
      <c r="N186" s="62"/>
    </row>
    <row r="187" spans="1:14" s="61" customFormat="1">
      <c r="A187" s="55">
        <v>181</v>
      </c>
      <c r="B187" s="59" t="s">
        <v>681</v>
      </c>
      <c r="C187" s="82"/>
      <c r="D187" s="56" t="s">
        <v>750</v>
      </c>
      <c r="E187" s="72" t="s">
        <v>616</v>
      </c>
      <c r="F187" s="40" t="s">
        <v>710</v>
      </c>
      <c r="G187" s="55">
        <v>1</v>
      </c>
      <c r="H187" s="55" t="s">
        <v>750</v>
      </c>
      <c r="I187" s="58" t="s">
        <v>751</v>
      </c>
      <c r="J187" s="45" t="s">
        <v>684</v>
      </c>
      <c r="K187" s="58" t="s">
        <v>752</v>
      </c>
      <c r="L187" s="58" t="s">
        <v>220</v>
      </c>
      <c r="M187" s="59" t="s">
        <v>753</v>
      </c>
      <c r="N187" s="62"/>
    </row>
    <row r="188" spans="1:14" s="61" customFormat="1">
      <c r="A188" s="55">
        <v>182</v>
      </c>
      <c r="B188" s="59" t="s">
        <v>681</v>
      </c>
      <c r="C188" s="82"/>
      <c r="D188" s="56" t="s">
        <v>754</v>
      </c>
      <c r="E188" s="72" t="s">
        <v>616</v>
      </c>
      <c r="F188" s="40" t="s">
        <v>710</v>
      </c>
      <c r="G188" s="55">
        <v>1</v>
      </c>
      <c r="H188" s="55" t="s">
        <v>754</v>
      </c>
      <c r="I188" s="58" t="s">
        <v>755</v>
      </c>
      <c r="J188" s="45" t="s">
        <v>684</v>
      </c>
      <c r="K188" s="58" t="s">
        <v>756</v>
      </c>
      <c r="L188" s="58" t="s">
        <v>220</v>
      </c>
      <c r="M188" s="59" t="s">
        <v>757</v>
      </c>
      <c r="N188" s="62"/>
    </row>
    <row r="189" spans="1:14" s="61" customFormat="1">
      <c r="A189" s="55">
        <v>183</v>
      </c>
      <c r="B189" s="59" t="s">
        <v>681</v>
      </c>
      <c r="C189" s="82"/>
      <c r="D189" s="56" t="s">
        <v>758</v>
      </c>
      <c r="E189" s="72" t="s">
        <v>616</v>
      </c>
      <c r="F189" s="40" t="s">
        <v>683</v>
      </c>
      <c r="G189" s="55">
        <v>1</v>
      </c>
      <c r="H189" s="80" t="s">
        <v>758</v>
      </c>
      <c r="I189" s="68" t="s">
        <v>616</v>
      </c>
      <c r="J189" s="69" t="s">
        <v>684</v>
      </c>
      <c r="K189" s="58" t="s">
        <v>759</v>
      </c>
      <c r="L189" s="58" t="s">
        <v>220</v>
      </c>
      <c r="M189" s="59" t="s">
        <v>760</v>
      </c>
      <c r="N189" s="62"/>
    </row>
    <row r="190" spans="1:14" s="61" customFormat="1">
      <c r="A190" s="55">
        <v>184</v>
      </c>
      <c r="B190" s="59" t="s">
        <v>681</v>
      </c>
      <c r="C190" s="65"/>
      <c r="D190" s="56" t="s">
        <v>761</v>
      </c>
      <c r="E190" s="72" t="s">
        <v>616</v>
      </c>
      <c r="F190" s="40" t="s">
        <v>689</v>
      </c>
      <c r="G190" s="55">
        <v>1</v>
      </c>
      <c r="H190" s="55" t="s">
        <v>761</v>
      </c>
      <c r="I190" s="58" t="s">
        <v>616</v>
      </c>
      <c r="J190" s="45" t="s">
        <v>684</v>
      </c>
      <c r="K190" s="58" t="s">
        <v>762</v>
      </c>
      <c r="L190" s="58" t="s">
        <v>220</v>
      </c>
      <c r="M190" s="59" t="s">
        <v>763</v>
      </c>
      <c r="N190" s="62"/>
    </row>
    <row r="191" spans="1:14" s="61" customFormat="1">
      <c r="A191" s="55">
        <v>185</v>
      </c>
      <c r="B191" s="59" t="s">
        <v>681</v>
      </c>
      <c r="C191" s="65"/>
      <c r="D191" s="56" t="s">
        <v>764</v>
      </c>
      <c r="E191" s="72" t="s">
        <v>616</v>
      </c>
      <c r="F191" s="40" t="s">
        <v>683</v>
      </c>
      <c r="G191" s="55">
        <v>1</v>
      </c>
      <c r="H191" s="55" t="s">
        <v>764</v>
      </c>
      <c r="I191" s="58" t="s">
        <v>765</v>
      </c>
      <c r="J191" s="45" t="s">
        <v>684</v>
      </c>
      <c r="K191" s="58" t="s">
        <v>766</v>
      </c>
      <c r="L191" s="58" t="s">
        <v>220</v>
      </c>
      <c r="M191" s="59" t="s">
        <v>767</v>
      </c>
      <c r="N191" s="62"/>
    </row>
    <row r="192" spans="1:14" s="61" customFormat="1">
      <c r="A192" s="55">
        <v>186</v>
      </c>
      <c r="B192" s="59" t="s">
        <v>681</v>
      </c>
      <c r="C192" s="65"/>
      <c r="D192" s="56"/>
      <c r="E192" s="72" t="s">
        <v>616</v>
      </c>
      <c r="F192" s="40" t="s">
        <v>683</v>
      </c>
      <c r="G192" s="55">
        <v>1</v>
      </c>
      <c r="H192" s="80"/>
      <c r="I192" s="68" t="s">
        <v>616</v>
      </c>
      <c r="J192" s="69" t="s">
        <v>684</v>
      </c>
      <c r="K192" s="58" t="s">
        <v>768</v>
      </c>
      <c r="L192" s="58" t="s">
        <v>220</v>
      </c>
      <c r="M192" s="59" t="s">
        <v>769</v>
      </c>
      <c r="N192" s="62"/>
    </row>
    <row r="193" spans="1:14" s="61" customFormat="1">
      <c r="A193" s="55">
        <v>187</v>
      </c>
      <c r="B193" s="59" t="s">
        <v>681</v>
      </c>
      <c r="C193" s="65"/>
      <c r="D193" s="56" t="s">
        <v>770</v>
      </c>
      <c r="E193" s="72" t="s">
        <v>616</v>
      </c>
      <c r="F193" s="40" t="s">
        <v>730</v>
      </c>
      <c r="G193" s="55">
        <v>1</v>
      </c>
      <c r="H193" s="55" t="s">
        <v>770</v>
      </c>
      <c r="I193" s="58" t="s">
        <v>771</v>
      </c>
      <c r="J193" s="45" t="s">
        <v>684</v>
      </c>
      <c r="K193" s="58" t="s">
        <v>772</v>
      </c>
      <c r="L193" s="58" t="s">
        <v>220</v>
      </c>
      <c r="M193" s="59" t="s">
        <v>773</v>
      </c>
      <c r="N193" s="62"/>
    </row>
    <row r="194" spans="1:14" s="61" customFormat="1">
      <c r="A194" s="55">
        <v>188</v>
      </c>
      <c r="B194" s="59" t="s">
        <v>681</v>
      </c>
      <c r="C194" s="65"/>
      <c r="D194" s="56" t="s">
        <v>774</v>
      </c>
      <c r="E194" s="72" t="s">
        <v>616</v>
      </c>
      <c r="F194" s="40" t="s">
        <v>730</v>
      </c>
      <c r="G194" s="55">
        <v>1</v>
      </c>
      <c r="H194" s="55" t="s">
        <v>774</v>
      </c>
      <c r="I194" s="58" t="s">
        <v>775</v>
      </c>
      <c r="J194" s="45" t="s">
        <v>684</v>
      </c>
      <c r="K194" s="58" t="s">
        <v>776</v>
      </c>
      <c r="L194" s="58" t="s">
        <v>220</v>
      </c>
      <c r="M194" s="59" t="s">
        <v>777</v>
      </c>
      <c r="N194" s="62"/>
    </row>
    <row r="195" spans="1:14" s="61" customFormat="1">
      <c r="A195" s="55">
        <v>189</v>
      </c>
      <c r="B195" s="59" t="s">
        <v>681</v>
      </c>
      <c r="C195" s="65"/>
      <c r="D195" s="56" t="s">
        <v>778</v>
      </c>
      <c r="E195" s="72" t="s">
        <v>616</v>
      </c>
      <c r="F195" s="40" t="s">
        <v>698</v>
      </c>
      <c r="G195" s="55">
        <v>1</v>
      </c>
      <c r="H195" s="55" t="s">
        <v>778</v>
      </c>
      <c r="I195" s="58" t="s">
        <v>779</v>
      </c>
      <c r="J195" s="45" t="s">
        <v>684</v>
      </c>
      <c r="K195" s="58" t="s">
        <v>780</v>
      </c>
      <c r="L195" s="58" t="s">
        <v>220</v>
      </c>
      <c r="M195" s="59" t="s">
        <v>781</v>
      </c>
      <c r="N195" s="62"/>
    </row>
    <row r="196" spans="1:14" s="61" customFormat="1">
      <c r="A196" s="55">
        <v>190</v>
      </c>
      <c r="B196" s="59" t="s">
        <v>681</v>
      </c>
      <c r="C196" s="65"/>
      <c r="D196" s="56"/>
      <c r="E196" s="72" t="s">
        <v>616</v>
      </c>
      <c r="F196" s="40" t="s">
        <v>689</v>
      </c>
      <c r="G196" s="55">
        <v>1</v>
      </c>
      <c r="H196" s="80"/>
      <c r="I196" s="68" t="s">
        <v>616</v>
      </c>
      <c r="J196" s="69" t="s">
        <v>684</v>
      </c>
      <c r="K196" s="58" t="s">
        <v>782</v>
      </c>
      <c r="L196" s="58" t="s">
        <v>783</v>
      </c>
      <c r="M196" s="59" t="s">
        <v>784</v>
      </c>
      <c r="N196" s="62"/>
    </row>
    <row r="197" spans="1:14" s="61" customFormat="1">
      <c r="A197" s="55">
        <v>191</v>
      </c>
      <c r="B197" s="59" t="s">
        <v>681</v>
      </c>
      <c r="C197" s="65"/>
      <c r="D197" s="56" t="s">
        <v>785</v>
      </c>
      <c r="E197" s="72" t="s">
        <v>616</v>
      </c>
      <c r="F197" s="40" t="s">
        <v>698</v>
      </c>
      <c r="G197" s="55">
        <v>1</v>
      </c>
      <c r="H197" s="55" t="s">
        <v>785</v>
      </c>
      <c r="I197" s="58" t="s">
        <v>747</v>
      </c>
      <c r="J197" s="45" t="s">
        <v>684</v>
      </c>
      <c r="K197" s="58" t="s">
        <v>786</v>
      </c>
      <c r="L197" s="58" t="s">
        <v>783</v>
      </c>
      <c r="M197" s="59" t="s">
        <v>787</v>
      </c>
      <c r="N197" s="62"/>
    </row>
    <row r="198" spans="1:14" s="61" customFormat="1">
      <c r="A198" s="55">
        <v>192</v>
      </c>
      <c r="B198" s="59" t="s">
        <v>681</v>
      </c>
      <c r="C198" s="82"/>
      <c r="D198" s="56" t="s">
        <v>788</v>
      </c>
      <c r="E198" s="72" t="s">
        <v>616</v>
      </c>
      <c r="F198" s="40" t="s">
        <v>725</v>
      </c>
      <c r="G198" s="55">
        <v>1</v>
      </c>
      <c r="H198" s="55" t="s">
        <v>788</v>
      </c>
      <c r="I198" s="58" t="s">
        <v>789</v>
      </c>
      <c r="J198" s="45" t="s">
        <v>684</v>
      </c>
      <c r="K198" s="58" t="s">
        <v>790</v>
      </c>
      <c r="L198" s="83" t="s">
        <v>791</v>
      </c>
      <c r="M198" s="59" t="s">
        <v>792</v>
      </c>
      <c r="N198" s="62"/>
    </row>
    <row r="199" spans="1:14" s="61" customFormat="1">
      <c r="A199" s="55">
        <v>193</v>
      </c>
      <c r="B199" s="59" t="s">
        <v>681</v>
      </c>
      <c r="C199" s="82"/>
      <c r="D199" s="56" t="s">
        <v>793</v>
      </c>
      <c r="E199" s="72" t="s">
        <v>616</v>
      </c>
      <c r="F199" s="40" t="s">
        <v>730</v>
      </c>
      <c r="G199" s="55">
        <v>1</v>
      </c>
      <c r="H199" s="55" t="s">
        <v>793</v>
      </c>
      <c r="I199" s="58" t="s">
        <v>794</v>
      </c>
      <c r="J199" s="45" t="s">
        <v>684</v>
      </c>
      <c r="K199" s="58" t="s">
        <v>795</v>
      </c>
      <c r="L199" s="58" t="s">
        <v>791</v>
      </c>
      <c r="M199" s="59" t="s">
        <v>796</v>
      </c>
      <c r="N199" s="62"/>
    </row>
    <row r="200" spans="1:14" s="61" customFormat="1">
      <c r="A200" s="55">
        <v>194</v>
      </c>
      <c r="B200" s="59" t="s">
        <v>681</v>
      </c>
      <c r="C200" s="82"/>
      <c r="D200" s="56" t="s">
        <v>797</v>
      </c>
      <c r="E200" s="72" t="s">
        <v>616</v>
      </c>
      <c r="F200" s="40" t="s">
        <v>730</v>
      </c>
      <c r="G200" s="55">
        <v>1</v>
      </c>
      <c r="H200" s="55" t="s">
        <v>797</v>
      </c>
      <c r="I200" s="58" t="s">
        <v>798</v>
      </c>
      <c r="J200" s="45" t="s">
        <v>684</v>
      </c>
      <c r="K200" s="58" t="s">
        <v>799</v>
      </c>
      <c r="L200" s="58" t="s">
        <v>791</v>
      </c>
      <c r="M200" s="59" t="s">
        <v>800</v>
      </c>
      <c r="N200" s="62"/>
    </row>
    <row r="201" spans="1:14" s="61" customFormat="1">
      <c r="A201" s="55">
        <v>195</v>
      </c>
      <c r="B201" s="59" t="s">
        <v>681</v>
      </c>
      <c r="C201" s="82"/>
      <c r="D201" s="56"/>
      <c r="E201" s="72" t="s">
        <v>616</v>
      </c>
      <c r="F201" s="40" t="s">
        <v>725</v>
      </c>
      <c r="G201" s="55">
        <v>1</v>
      </c>
      <c r="H201" s="80"/>
      <c r="I201" s="68" t="s">
        <v>616</v>
      </c>
      <c r="J201" s="69" t="s">
        <v>684</v>
      </c>
      <c r="K201" s="58" t="s">
        <v>801</v>
      </c>
      <c r="L201" s="58" t="s">
        <v>791</v>
      </c>
      <c r="M201" s="59" t="s">
        <v>802</v>
      </c>
      <c r="N201" s="62"/>
    </row>
    <row r="202" spans="1:14" s="61" customFormat="1">
      <c r="A202" s="55">
        <v>196</v>
      </c>
      <c r="B202" s="59" t="s">
        <v>681</v>
      </c>
      <c r="C202" s="65"/>
      <c r="D202" s="56" t="s">
        <v>803</v>
      </c>
      <c r="E202" s="72" t="s">
        <v>616</v>
      </c>
      <c r="F202" s="40" t="s">
        <v>725</v>
      </c>
      <c r="G202" s="55">
        <v>1</v>
      </c>
      <c r="H202" s="55" t="s">
        <v>803</v>
      </c>
      <c r="I202" s="58" t="s">
        <v>804</v>
      </c>
      <c r="J202" s="45" t="s">
        <v>684</v>
      </c>
      <c r="K202" s="58" t="s">
        <v>805</v>
      </c>
      <c r="L202" s="84">
        <v>44494</v>
      </c>
      <c r="M202" s="59" t="s">
        <v>806</v>
      </c>
      <c r="N202" s="62"/>
    </row>
    <row r="203" spans="1:14" s="61" customFormat="1">
      <c r="A203" s="55">
        <v>197</v>
      </c>
      <c r="B203" s="59" t="s">
        <v>807</v>
      </c>
      <c r="C203" s="65"/>
      <c r="D203" s="56" t="s">
        <v>808</v>
      </c>
      <c r="E203" s="72" t="s">
        <v>809</v>
      </c>
      <c r="F203" s="59" t="s">
        <v>810</v>
      </c>
      <c r="G203" s="55">
        <v>1</v>
      </c>
      <c r="H203" s="55" t="s">
        <v>808</v>
      </c>
      <c r="I203" s="58" t="s">
        <v>811</v>
      </c>
      <c r="J203" s="45" t="s">
        <v>812</v>
      </c>
      <c r="K203" s="58" t="s">
        <v>813</v>
      </c>
      <c r="L203" s="84">
        <v>42925</v>
      </c>
      <c r="M203" s="59"/>
      <c r="N203" s="60">
        <f>SUM(G203:G204)</f>
        <v>2</v>
      </c>
    </row>
    <row r="204" spans="1:14" s="61" customFormat="1">
      <c r="A204" s="55">
        <v>198</v>
      </c>
      <c r="B204" s="59" t="s">
        <v>807</v>
      </c>
      <c r="C204" s="65"/>
      <c r="D204" s="56" t="s">
        <v>814</v>
      </c>
      <c r="E204" s="72" t="s">
        <v>809</v>
      </c>
      <c r="F204" s="59" t="s">
        <v>810</v>
      </c>
      <c r="G204" s="55">
        <v>1</v>
      </c>
      <c r="H204" s="55" t="s">
        <v>814</v>
      </c>
      <c r="I204" s="58" t="s">
        <v>815</v>
      </c>
      <c r="J204" s="45" t="s">
        <v>812</v>
      </c>
      <c r="K204" s="58" t="s">
        <v>813</v>
      </c>
      <c r="L204" s="84">
        <v>42925</v>
      </c>
      <c r="M204" s="59"/>
      <c r="N204" s="62"/>
    </row>
    <row r="205" spans="1:14" s="61" customFormat="1">
      <c r="A205" s="55">
        <v>199</v>
      </c>
      <c r="B205" s="59" t="s">
        <v>807</v>
      </c>
      <c r="C205" s="65"/>
      <c r="D205" s="56" t="s">
        <v>553</v>
      </c>
      <c r="E205" s="72" t="s">
        <v>469</v>
      </c>
      <c r="F205" s="40" t="s">
        <v>816</v>
      </c>
      <c r="G205" s="55">
        <v>1</v>
      </c>
      <c r="H205" s="55" t="s">
        <v>553</v>
      </c>
      <c r="I205" s="58" t="s">
        <v>817</v>
      </c>
      <c r="J205" s="45" t="s">
        <v>818</v>
      </c>
      <c r="K205" s="58" t="s">
        <v>819</v>
      </c>
      <c r="L205" s="58" t="s">
        <v>820</v>
      </c>
      <c r="M205" s="59" t="s">
        <v>821</v>
      </c>
      <c r="N205" s="60">
        <f>SUM(G205:G235)</f>
        <v>31</v>
      </c>
    </row>
    <row r="206" spans="1:14" s="61" customFormat="1">
      <c r="A206" s="55">
        <v>200</v>
      </c>
      <c r="B206" s="59" t="s">
        <v>807</v>
      </c>
      <c r="C206" s="65"/>
      <c r="D206" s="56" t="s">
        <v>557</v>
      </c>
      <c r="E206" s="72" t="s">
        <v>469</v>
      </c>
      <c r="F206" s="40" t="s">
        <v>816</v>
      </c>
      <c r="G206" s="55">
        <v>1</v>
      </c>
      <c r="H206" s="55" t="s">
        <v>557</v>
      </c>
      <c r="I206" s="58" t="s">
        <v>822</v>
      </c>
      <c r="J206" s="45" t="s">
        <v>818</v>
      </c>
      <c r="K206" s="58" t="s">
        <v>823</v>
      </c>
      <c r="L206" s="58" t="s">
        <v>820</v>
      </c>
      <c r="M206" s="59" t="s">
        <v>824</v>
      </c>
      <c r="N206" s="62"/>
    </row>
    <row r="207" spans="1:14" s="61" customFormat="1">
      <c r="A207" s="55">
        <v>201</v>
      </c>
      <c r="B207" s="59" t="s">
        <v>807</v>
      </c>
      <c r="C207" s="65"/>
      <c r="D207" s="56" t="s">
        <v>502</v>
      </c>
      <c r="E207" s="72" t="s">
        <v>809</v>
      </c>
      <c r="F207" s="79" t="s">
        <v>825</v>
      </c>
      <c r="G207" s="55">
        <v>1</v>
      </c>
      <c r="H207" s="55" t="s">
        <v>502</v>
      </c>
      <c r="I207" s="68"/>
      <c r="J207" s="45" t="s">
        <v>818</v>
      </c>
      <c r="K207" s="58" t="s">
        <v>826</v>
      </c>
      <c r="L207" s="58" t="s">
        <v>827</v>
      </c>
      <c r="M207" s="59" t="s">
        <v>828</v>
      </c>
      <c r="N207" s="62"/>
    </row>
    <row r="208" spans="1:14" s="61" customFormat="1">
      <c r="A208" s="55">
        <v>202</v>
      </c>
      <c r="B208" s="59" t="s">
        <v>807</v>
      </c>
      <c r="C208" s="65"/>
      <c r="D208" s="56" t="s">
        <v>580</v>
      </c>
      <c r="E208" s="72" t="s">
        <v>809</v>
      </c>
      <c r="F208" s="85" t="s">
        <v>825</v>
      </c>
      <c r="G208" s="55">
        <v>1</v>
      </c>
      <c r="H208" s="55" t="s">
        <v>580</v>
      </c>
      <c r="I208" s="68"/>
      <c r="J208" s="45" t="s">
        <v>818</v>
      </c>
      <c r="K208" s="58" t="s">
        <v>829</v>
      </c>
      <c r="L208" s="72" t="s">
        <v>220</v>
      </c>
      <c r="M208" s="59" t="s">
        <v>830</v>
      </c>
      <c r="N208" s="62"/>
    </row>
    <row r="209" spans="1:14" s="61" customFormat="1">
      <c r="A209" s="55">
        <v>203</v>
      </c>
      <c r="B209" s="59" t="s">
        <v>807</v>
      </c>
      <c r="C209" s="65"/>
      <c r="D209" s="56" t="s">
        <v>561</v>
      </c>
      <c r="E209" s="72" t="s">
        <v>809</v>
      </c>
      <c r="F209" s="85" t="s">
        <v>825</v>
      </c>
      <c r="G209" s="55">
        <v>1</v>
      </c>
      <c r="H209" s="55" t="s">
        <v>561</v>
      </c>
      <c r="I209" s="68"/>
      <c r="J209" s="45" t="s">
        <v>818</v>
      </c>
      <c r="K209" s="58" t="s">
        <v>831</v>
      </c>
      <c r="L209" s="72" t="s">
        <v>220</v>
      </c>
      <c r="M209" s="59" t="s">
        <v>832</v>
      </c>
      <c r="N209" s="62"/>
    </row>
    <row r="210" spans="1:14" s="61" customFormat="1">
      <c r="A210" s="55">
        <v>204</v>
      </c>
      <c r="B210" s="59" t="s">
        <v>807</v>
      </c>
      <c r="C210" s="65"/>
      <c r="D210" s="56" t="s">
        <v>541</v>
      </c>
      <c r="E210" s="72" t="s">
        <v>809</v>
      </c>
      <c r="F210" s="85" t="s">
        <v>825</v>
      </c>
      <c r="G210" s="55">
        <v>1</v>
      </c>
      <c r="H210" s="55" t="s">
        <v>541</v>
      </c>
      <c r="I210" s="68"/>
      <c r="J210" s="45" t="s">
        <v>818</v>
      </c>
      <c r="K210" s="58" t="s">
        <v>833</v>
      </c>
      <c r="L210" s="58" t="s">
        <v>220</v>
      </c>
      <c r="M210" s="59" t="s">
        <v>834</v>
      </c>
      <c r="N210" s="62"/>
    </row>
    <row r="211" spans="1:14" s="61" customFormat="1">
      <c r="A211" s="55">
        <v>205</v>
      </c>
      <c r="B211" s="59" t="s">
        <v>807</v>
      </c>
      <c r="C211" s="65"/>
      <c r="D211" s="56" t="s">
        <v>511</v>
      </c>
      <c r="E211" s="72" t="s">
        <v>809</v>
      </c>
      <c r="F211" s="85" t="s">
        <v>825</v>
      </c>
      <c r="G211" s="55">
        <v>1</v>
      </c>
      <c r="H211" s="55" t="s">
        <v>511</v>
      </c>
      <c r="I211" s="68"/>
      <c r="J211" s="45" t="s">
        <v>818</v>
      </c>
      <c r="K211" s="58" t="s">
        <v>835</v>
      </c>
      <c r="L211" s="58" t="s">
        <v>220</v>
      </c>
      <c r="M211" s="59" t="s">
        <v>836</v>
      </c>
      <c r="N211" s="62"/>
    </row>
    <row r="212" spans="1:14" s="61" customFormat="1">
      <c r="A212" s="55">
        <v>206</v>
      </c>
      <c r="B212" s="59" t="s">
        <v>807</v>
      </c>
      <c r="C212" s="65"/>
      <c r="D212" s="56" t="s">
        <v>601</v>
      </c>
      <c r="E212" s="72" t="s">
        <v>809</v>
      </c>
      <c r="F212" s="85" t="s">
        <v>825</v>
      </c>
      <c r="G212" s="55">
        <v>1</v>
      </c>
      <c r="H212" s="55" t="s">
        <v>601</v>
      </c>
      <c r="I212" s="68"/>
      <c r="J212" s="45" t="s">
        <v>818</v>
      </c>
      <c r="K212" s="58" t="s">
        <v>837</v>
      </c>
      <c r="L212" s="58" t="s">
        <v>220</v>
      </c>
      <c r="M212" s="59" t="s">
        <v>838</v>
      </c>
      <c r="N212" s="62"/>
    </row>
    <row r="213" spans="1:14" s="61" customFormat="1">
      <c r="A213" s="55">
        <v>207</v>
      </c>
      <c r="B213" s="59" t="s">
        <v>807</v>
      </c>
      <c r="C213" s="65"/>
      <c r="D213" s="56" t="s">
        <v>605</v>
      </c>
      <c r="E213" s="72" t="s">
        <v>809</v>
      </c>
      <c r="F213" s="85" t="s">
        <v>825</v>
      </c>
      <c r="G213" s="55">
        <v>1</v>
      </c>
      <c r="H213" s="55" t="s">
        <v>605</v>
      </c>
      <c r="I213" s="68"/>
      <c r="J213" s="45" t="s">
        <v>818</v>
      </c>
      <c r="K213" s="58" t="s">
        <v>839</v>
      </c>
      <c r="L213" s="58" t="s">
        <v>220</v>
      </c>
      <c r="M213" s="59" t="s">
        <v>840</v>
      </c>
      <c r="N213" s="62"/>
    </row>
    <row r="214" spans="1:14" s="61" customFormat="1">
      <c r="A214" s="55">
        <v>208</v>
      </c>
      <c r="B214" s="59" t="s">
        <v>807</v>
      </c>
      <c r="C214" s="65"/>
      <c r="D214" s="56" t="s">
        <v>492</v>
      </c>
      <c r="E214" s="72" t="s">
        <v>809</v>
      </c>
      <c r="F214" s="85" t="s">
        <v>825</v>
      </c>
      <c r="G214" s="55">
        <v>1</v>
      </c>
      <c r="H214" s="55" t="s">
        <v>492</v>
      </c>
      <c r="I214" s="68"/>
      <c r="J214" s="45" t="s">
        <v>818</v>
      </c>
      <c r="K214" s="58" t="s">
        <v>841</v>
      </c>
      <c r="L214" s="58" t="s">
        <v>220</v>
      </c>
      <c r="M214" s="59" t="s">
        <v>842</v>
      </c>
      <c r="N214" s="62"/>
    </row>
    <row r="215" spans="1:14" s="61" customFormat="1">
      <c r="A215" s="55">
        <v>209</v>
      </c>
      <c r="B215" s="59" t="s">
        <v>807</v>
      </c>
      <c r="C215" s="65"/>
      <c r="D215" s="56" t="s">
        <v>592</v>
      </c>
      <c r="E215" s="72" t="s">
        <v>809</v>
      </c>
      <c r="F215" s="85" t="s">
        <v>825</v>
      </c>
      <c r="G215" s="55">
        <v>1</v>
      </c>
      <c r="H215" s="55" t="s">
        <v>592</v>
      </c>
      <c r="I215" s="68"/>
      <c r="J215" s="45" t="s">
        <v>818</v>
      </c>
      <c r="K215" s="58" t="s">
        <v>843</v>
      </c>
      <c r="L215" s="58" t="s">
        <v>220</v>
      </c>
      <c r="M215" s="59" t="s">
        <v>844</v>
      </c>
      <c r="N215" s="62"/>
    </row>
    <row r="216" spans="1:14" s="61" customFormat="1">
      <c r="A216" s="55">
        <v>210</v>
      </c>
      <c r="B216" s="59" t="s">
        <v>807</v>
      </c>
      <c r="C216" s="65"/>
      <c r="D216" s="56" t="s">
        <v>545</v>
      </c>
      <c r="E216" s="72" t="s">
        <v>809</v>
      </c>
      <c r="F216" s="85" t="s">
        <v>825</v>
      </c>
      <c r="G216" s="55">
        <v>1</v>
      </c>
      <c r="H216" s="55" t="s">
        <v>545</v>
      </c>
      <c r="I216" s="68"/>
      <c r="J216" s="45" t="s">
        <v>818</v>
      </c>
      <c r="K216" s="58" t="s">
        <v>845</v>
      </c>
      <c r="L216" s="58" t="s">
        <v>220</v>
      </c>
      <c r="M216" s="59" t="s">
        <v>846</v>
      </c>
      <c r="N216" s="62"/>
    </row>
    <row r="217" spans="1:14" s="61" customFormat="1">
      <c r="A217" s="55">
        <v>211</v>
      </c>
      <c r="B217" s="59" t="s">
        <v>807</v>
      </c>
      <c r="C217" s="65"/>
      <c r="D217" s="56" t="s">
        <v>597</v>
      </c>
      <c r="E217" s="72" t="s">
        <v>809</v>
      </c>
      <c r="F217" s="85" t="s">
        <v>825</v>
      </c>
      <c r="G217" s="55">
        <v>1</v>
      </c>
      <c r="H217" s="55" t="s">
        <v>597</v>
      </c>
      <c r="I217" s="68"/>
      <c r="J217" s="45" t="s">
        <v>818</v>
      </c>
      <c r="K217" s="58" t="s">
        <v>847</v>
      </c>
      <c r="L217" s="58" t="s">
        <v>220</v>
      </c>
      <c r="M217" s="59" t="s">
        <v>848</v>
      </c>
      <c r="N217" s="62"/>
    </row>
    <row r="218" spans="1:14" s="61" customFormat="1">
      <c r="A218" s="55">
        <v>212</v>
      </c>
      <c r="B218" s="59" t="s">
        <v>807</v>
      </c>
      <c r="C218" s="65"/>
      <c r="D218" s="56" t="s">
        <v>508</v>
      </c>
      <c r="E218" s="72" t="s">
        <v>809</v>
      </c>
      <c r="F218" s="85" t="s">
        <v>825</v>
      </c>
      <c r="G218" s="55">
        <v>1</v>
      </c>
      <c r="H218" s="55" t="s">
        <v>508</v>
      </c>
      <c r="I218" s="68"/>
      <c r="J218" s="45" t="s">
        <v>818</v>
      </c>
      <c r="K218" s="58" t="s">
        <v>849</v>
      </c>
      <c r="L218" s="58" t="s">
        <v>220</v>
      </c>
      <c r="M218" s="59" t="s">
        <v>850</v>
      </c>
      <c r="N218" s="62"/>
    </row>
    <row r="219" spans="1:14" s="61" customFormat="1">
      <c r="A219" s="55">
        <v>213</v>
      </c>
      <c r="B219" s="59" t="s">
        <v>807</v>
      </c>
      <c r="C219" s="65"/>
      <c r="D219" s="56" t="s">
        <v>549</v>
      </c>
      <c r="E219" s="72" t="s">
        <v>809</v>
      </c>
      <c r="F219" s="85" t="s">
        <v>825</v>
      </c>
      <c r="G219" s="55">
        <v>1</v>
      </c>
      <c r="H219" s="55" t="s">
        <v>549</v>
      </c>
      <c r="I219" s="68"/>
      <c r="J219" s="45" t="s">
        <v>818</v>
      </c>
      <c r="K219" s="58" t="s">
        <v>851</v>
      </c>
      <c r="L219" s="58" t="s">
        <v>220</v>
      </c>
      <c r="M219" s="59" t="s">
        <v>852</v>
      </c>
      <c r="N219" s="62"/>
    </row>
    <row r="220" spans="1:14" s="61" customFormat="1">
      <c r="A220" s="55">
        <v>214</v>
      </c>
      <c r="B220" s="59" t="s">
        <v>807</v>
      </c>
      <c r="C220" s="65"/>
      <c r="D220" s="56" t="s">
        <v>504</v>
      </c>
      <c r="E220" s="72" t="s">
        <v>809</v>
      </c>
      <c r="F220" s="85" t="s">
        <v>853</v>
      </c>
      <c r="G220" s="55">
        <v>1</v>
      </c>
      <c r="H220" s="55" t="s">
        <v>504</v>
      </c>
      <c r="I220" s="68"/>
      <c r="J220" s="45" t="s">
        <v>854</v>
      </c>
      <c r="K220" s="58" t="s">
        <v>855</v>
      </c>
      <c r="L220" s="58" t="s">
        <v>220</v>
      </c>
      <c r="M220" s="59" t="s">
        <v>856</v>
      </c>
      <c r="N220" s="62"/>
    </row>
    <row r="221" spans="1:14" s="61" customFormat="1">
      <c r="A221" s="55">
        <v>215</v>
      </c>
      <c r="B221" s="59" t="s">
        <v>807</v>
      </c>
      <c r="C221" s="65"/>
      <c r="D221" s="56" t="s">
        <v>487</v>
      </c>
      <c r="E221" s="72" t="s">
        <v>809</v>
      </c>
      <c r="F221" s="85" t="s">
        <v>853</v>
      </c>
      <c r="G221" s="55">
        <v>1</v>
      </c>
      <c r="H221" s="55" t="s">
        <v>487</v>
      </c>
      <c r="I221" s="68"/>
      <c r="J221" s="45" t="s">
        <v>854</v>
      </c>
      <c r="K221" s="58" t="s">
        <v>857</v>
      </c>
      <c r="L221" s="58" t="s">
        <v>220</v>
      </c>
      <c r="M221" s="59" t="s">
        <v>858</v>
      </c>
      <c r="N221" s="62"/>
    </row>
    <row r="222" spans="1:14" s="61" customFormat="1">
      <c r="A222" s="55">
        <v>216</v>
      </c>
      <c r="B222" s="59" t="s">
        <v>807</v>
      </c>
      <c r="C222" s="65"/>
      <c r="D222" s="56" t="s">
        <v>494</v>
      </c>
      <c r="E222" s="72" t="s">
        <v>809</v>
      </c>
      <c r="F222" s="85" t="s">
        <v>853</v>
      </c>
      <c r="G222" s="55">
        <v>1</v>
      </c>
      <c r="H222" s="55" t="s">
        <v>494</v>
      </c>
      <c r="I222" s="68"/>
      <c r="J222" s="45" t="s">
        <v>854</v>
      </c>
      <c r="K222" s="58" t="s">
        <v>859</v>
      </c>
      <c r="L222" s="58" t="s">
        <v>220</v>
      </c>
      <c r="M222" s="59" t="s">
        <v>860</v>
      </c>
      <c r="N222" s="62"/>
    </row>
    <row r="223" spans="1:14" s="61" customFormat="1">
      <c r="A223" s="55">
        <v>217</v>
      </c>
      <c r="B223" s="59" t="s">
        <v>807</v>
      </c>
      <c r="C223" s="65"/>
      <c r="D223" s="56" t="s">
        <v>537</v>
      </c>
      <c r="E223" s="72" t="s">
        <v>809</v>
      </c>
      <c r="F223" s="85" t="s">
        <v>825</v>
      </c>
      <c r="G223" s="55">
        <v>1</v>
      </c>
      <c r="H223" s="55" t="s">
        <v>537</v>
      </c>
      <c r="I223" s="68"/>
      <c r="J223" s="45" t="s">
        <v>818</v>
      </c>
      <c r="K223" s="58" t="s">
        <v>861</v>
      </c>
      <c r="L223" s="58" t="s">
        <v>862</v>
      </c>
      <c r="M223" s="59" t="s">
        <v>863</v>
      </c>
      <c r="N223" s="62"/>
    </row>
    <row r="224" spans="1:14" s="61" customFormat="1">
      <c r="A224" s="55">
        <v>218</v>
      </c>
      <c r="B224" s="59" t="s">
        <v>807</v>
      </c>
      <c r="C224" s="65"/>
      <c r="D224" s="56" t="s">
        <v>519</v>
      </c>
      <c r="E224" s="72" t="s">
        <v>809</v>
      </c>
      <c r="F224" s="85" t="s">
        <v>825</v>
      </c>
      <c r="G224" s="55">
        <v>1</v>
      </c>
      <c r="H224" s="55" t="s">
        <v>519</v>
      </c>
      <c r="I224" s="68"/>
      <c r="J224" s="45" t="s">
        <v>818</v>
      </c>
      <c r="K224" s="58" t="s">
        <v>864</v>
      </c>
      <c r="L224" s="58" t="s">
        <v>862</v>
      </c>
      <c r="M224" s="59" t="s">
        <v>865</v>
      </c>
      <c r="N224" s="62"/>
    </row>
    <row r="225" spans="1:14" s="61" customFormat="1">
      <c r="A225" s="55">
        <v>219</v>
      </c>
      <c r="B225" s="59" t="s">
        <v>807</v>
      </c>
      <c r="C225" s="65"/>
      <c r="D225" s="56" t="s">
        <v>866</v>
      </c>
      <c r="E225" s="72" t="s">
        <v>809</v>
      </c>
      <c r="F225" s="85" t="s">
        <v>825</v>
      </c>
      <c r="G225" s="55">
        <v>1</v>
      </c>
      <c r="H225" s="55" t="s">
        <v>866</v>
      </c>
      <c r="I225" s="68"/>
      <c r="J225" s="45" t="s">
        <v>818</v>
      </c>
      <c r="K225" s="58" t="s">
        <v>867</v>
      </c>
      <c r="L225" s="58" t="s">
        <v>868</v>
      </c>
      <c r="M225" s="59" t="s">
        <v>869</v>
      </c>
      <c r="N225" s="62"/>
    </row>
    <row r="226" spans="1:14" s="61" customFormat="1">
      <c r="A226" s="55">
        <v>220</v>
      </c>
      <c r="B226" s="59" t="s">
        <v>807</v>
      </c>
      <c r="C226" s="65"/>
      <c r="D226" s="56" t="s">
        <v>524</v>
      </c>
      <c r="E226" s="72" t="s">
        <v>809</v>
      </c>
      <c r="F226" s="85" t="s">
        <v>825</v>
      </c>
      <c r="G226" s="55">
        <v>1</v>
      </c>
      <c r="H226" s="55" t="s">
        <v>524</v>
      </c>
      <c r="I226" s="68"/>
      <c r="J226" s="45" t="s">
        <v>818</v>
      </c>
      <c r="K226" s="58" t="s">
        <v>870</v>
      </c>
      <c r="L226" s="58" t="s">
        <v>868</v>
      </c>
      <c r="M226" s="59" t="s">
        <v>871</v>
      </c>
      <c r="N226" s="62"/>
    </row>
    <row r="227" spans="1:14" s="61" customFormat="1">
      <c r="A227" s="55">
        <v>221</v>
      </c>
      <c r="B227" s="59" t="s">
        <v>807</v>
      </c>
      <c r="C227" s="65"/>
      <c r="D227" s="56" t="s">
        <v>498</v>
      </c>
      <c r="E227" s="72" t="s">
        <v>809</v>
      </c>
      <c r="F227" s="85" t="s">
        <v>825</v>
      </c>
      <c r="G227" s="55">
        <v>1</v>
      </c>
      <c r="H227" s="55" t="s">
        <v>498</v>
      </c>
      <c r="I227" s="68"/>
      <c r="J227" s="45" t="s">
        <v>818</v>
      </c>
      <c r="K227" s="58" t="s">
        <v>872</v>
      </c>
      <c r="L227" s="58" t="s">
        <v>873</v>
      </c>
      <c r="M227" s="59" t="s">
        <v>874</v>
      </c>
      <c r="N227" s="62"/>
    </row>
    <row r="228" spans="1:14" s="61" customFormat="1">
      <c r="A228" s="55">
        <v>222</v>
      </c>
      <c r="B228" s="59" t="s">
        <v>807</v>
      </c>
      <c r="C228" s="82"/>
      <c r="D228" s="56" t="s">
        <v>632</v>
      </c>
      <c r="E228" s="72" t="s">
        <v>809</v>
      </c>
      <c r="F228" s="85" t="s">
        <v>825</v>
      </c>
      <c r="G228" s="55">
        <v>1</v>
      </c>
      <c r="H228" s="55" t="s">
        <v>632</v>
      </c>
      <c r="I228" s="68"/>
      <c r="J228" s="45" t="s">
        <v>818</v>
      </c>
      <c r="K228" s="58" t="s">
        <v>875</v>
      </c>
      <c r="L228" s="58" t="s">
        <v>873</v>
      </c>
      <c r="M228" s="59" t="s">
        <v>876</v>
      </c>
      <c r="N228" s="62"/>
    </row>
    <row r="229" spans="1:14" s="61" customFormat="1">
      <c r="A229" s="55">
        <v>223</v>
      </c>
      <c r="B229" s="59" t="s">
        <v>807</v>
      </c>
      <c r="C229" s="82"/>
      <c r="D229" s="56" t="s">
        <v>515</v>
      </c>
      <c r="E229" s="72" t="s">
        <v>809</v>
      </c>
      <c r="F229" s="85" t="s">
        <v>825</v>
      </c>
      <c r="G229" s="55">
        <v>1</v>
      </c>
      <c r="H229" s="55" t="s">
        <v>515</v>
      </c>
      <c r="I229" s="68"/>
      <c r="J229" s="45" t="s">
        <v>818</v>
      </c>
      <c r="K229" s="58" t="s">
        <v>877</v>
      </c>
      <c r="L229" s="58" t="s">
        <v>873</v>
      </c>
      <c r="M229" s="59" t="s">
        <v>878</v>
      </c>
      <c r="N229" s="62"/>
    </row>
    <row r="230" spans="1:14" s="61" customFormat="1">
      <c r="A230" s="55">
        <v>224</v>
      </c>
      <c r="B230" s="59" t="s">
        <v>807</v>
      </c>
      <c r="C230" s="82"/>
      <c r="D230" s="56" t="s">
        <v>496</v>
      </c>
      <c r="E230" s="72" t="s">
        <v>809</v>
      </c>
      <c r="F230" s="85" t="s">
        <v>853</v>
      </c>
      <c r="G230" s="55">
        <v>1</v>
      </c>
      <c r="H230" s="55" t="s">
        <v>496</v>
      </c>
      <c r="I230" s="68"/>
      <c r="J230" s="45" t="s">
        <v>854</v>
      </c>
      <c r="K230" s="58" t="s">
        <v>879</v>
      </c>
      <c r="L230" s="58" t="s">
        <v>873</v>
      </c>
      <c r="M230" s="59" t="s">
        <v>880</v>
      </c>
      <c r="N230" s="62"/>
    </row>
    <row r="231" spans="1:14" s="61" customFormat="1">
      <c r="A231" s="55">
        <v>225</v>
      </c>
      <c r="B231" s="59" t="s">
        <v>807</v>
      </c>
      <c r="C231" s="65"/>
      <c r="D231" s="56" t="s">
        <v>569</v>
      </c>
      <c r="E231" s="72" t="s">
        <v>809</v>
      </c>
      <c r="F231" s="85" t="s">
        <v>853</v>
      </c>
      <c r="G231" s="55">
        <v>1</v>
      </c>
      <c r="H231" s="55" t="s">
        <v>569</v>
      </c>
      <c r="I231" s="68"/>
      <c r="J231" s="45" t="s">
        <v>854</v>
      </c>
      <c r="K231" s="58" t="s">
        <v>881</v>
      </c>
      <c r="L231" s="58" t="s">
        <v>882</v>
      </c>
      <c r="M231" s="59" t="s">
        <v>883</v>
      </c>
      <c r="N231" s="62"/>
    </row>
    <row r="232" spans="1:14" s="61" customFormat="1">
      <c r="A232" s="55">
        <v>226</v>
      </c>
      <c r="B232" s="59" t="s">
        <v>807</v>
      </c>
      <c r="C232" s="65"/>
      <c r="D232" s="56" t="s">
        <v>532</v>
      </c>
      <c r="E232" s="72" t="s">
        <v>809</v>
      </c>
      <c r="F232" s="85" t="s">
        <v>853</v>
      </c>
      <c r="G232" s="55">
        <v>1</v>
      </c>
      <c r="H232" s="55" t="s">
        <v>532</v>
      </c>
      <c r="I232" s="68"/>
      <c r="J232" s="45" t="s">
        <v>854</v>
      </c>
      <c r="K232" s="58" t="s">
        <v>884</v>
      </c>
      <c r="L232" s="58" t="s">
        <v>882</v>
      </c>
      <c r="M232" s="59" t="s">
        <v>885</v>
      </c>
      <c r="N232" s="62"/>
    </row>
    <row r="233" spans="1:14" s="61" customFormat="1">
      <c r="A233" s="55">
        <v>227</v>
      </c>
      <c r="B233" s="59" t="s">
        <v>807</v>
      </c>
      <c r="C233" s="65"/>
      <c r="D233" s="56" t="s">
        <v>573</v>
      </c>
      <c r="E233" s="72" t="s">
        <v>809</v>
      </c>
      <c r="F233" s="85" t="s">
        <v>853</v>
      </c>
      <c r="G233" s="55">
        <v>1</v>
      </c>
      <c r="H233" s="55" t="s">
        <v>573</v>
      </c>
      <c r="I233" s="68"/>
      <c r="J233" s="45" t="s">
        <v>854</v>
      </c>
      <c r="K233" s="58" t="s">
        <v>886</v>
      </c>
      <c r="L233" s="58" t="s">
        <v>882</v>
      </c>
      <c r="M233" s="59" t="s">
        <v>887</v>
      </c>
      <c r="N233" s="62"/>
    </row>
    <row r="234" spans="1:14" s="61" customFormat="1">
      <c r="A234" s="55">
        <v>228</v>
      </c>
      <c r="B234" s="59" t="s">
        <v>807</v>
      </c>
      <c r="C234" s="65"/>
      <c r="D234" s="56" t="s">
        <v>588</v>
      </c>
      <c r="E234" s="72" t="s">
        <v>809</v>
      </c>
      <c r="F234" s="85" t="s">
        <v>853</v>
      </c>
      <c r="G234" s="55">
        <v>1</v>
      </c>
      <c r="H234" s="55" t="s">
        <v>588</v>
      </c>
      <c r="I234" s="68"/>
      <c r="J234" s="45" t="s">
        <v>854</v>
      </c>
      <c r="K234" s="58" t="s">
        <v>888</v>
      </c>
      <c r="L234" s="58" t="s">
        <v>882</v>
      </c>
      <c r="M234" s="59" t="s">
        <v>889</v>
      </c>
      <c r="N234" s="62"/>
    </row>
    <row r="235" spans="1:14" s="61" customFormat="1">
      <c r="A235" s="55">
        <v>229</v>
      </c>
      <c r="B235" s="59" t="s">
        <v>807</v>
      </c>
      <c r="C235" s="65"/>
      <c r="D235" s="56" t="s">
        <v>609</v>
      </c>
      <c r="E235" s="72" t="s">
        <v>809</v>
      </c>
      <c r="F235" s="85" t="s">
        <v>825</v>
      </c>
      <c r="G235" s="55">
        <v>1</v>
      </c>
      <c r="H235" s="55" t="s">
        <v>609</v>
      </c>
      <c r="I235" s="68"/>
      <c r="J235" s="45" t="s">
        <v>818</v>
      </c>
      <c r="K235" s="58" t="s">
        <v>890</v>
      </c>
      <c r="L235" s="58" t="s">
        <v>882</v>
      </c>
      <c r="M235" s="59" t="s">
        <v>891</v>
      </c>
      <c r="N235" s="62"/>
    </row>
    <row r="236" spans="1:14" s="61" customFormat="1">
      <c r="A236" s="55">
        <v>230</v>
      </c>
      <c r="B236" s="40" t="s">
        <v>892</v>
      </c>
      <c r="C236" s="47"/>
      <c r="D236" s="56" t="s">
        <v>893</v>
      </c>
      <c r="E236" s="72" t="s">
        <v>616</v>
      </c>
      <c r="F236" s="40" t="s">
        <v>894</v>
      </c>
      <c r="G236" s="55">
        <v>1</v>
      </c>
      <c r="H236" s="55" t="s">
        <v>893</v>
      </c>
      <c r="I236" s="58" t="s">
        <v>616</v>
      </c>
      <c r="J236" s="45" t="s">
        <v>895</v>
      </c>
      <c r="K236" s="58" t="s">
        <v>896</v>
      </c>
      <c r="L236" s="72" t="s">
        <v>189</v>
      </c>
      <c r="M236" s="72" t="s">
        <v>897</v>
      </c>
      <c r="N236" s="60">
        <f>SUM(G236:G251)</f>
        <v>16</v>
      </c>
    </row>
    <row r="237" spans="1:14" s="61" customFormat="1">
      <c r="A237" s="55">
        <v>231</v>
      </c>
      <c r="B237" s="40" t="s">
        <v>892</v>
      </c>
      <c r="C237" s="47"/>
      <c r="D237" s="56" t="s">
        <v>898</v>
      </c>
      <c r="E237" s="72" t="s">
        <v>616</v>
      </c>
      <c r="F237" s="40" t="s">
        <v>899</v>
      </c>
      <c r="G237" s="55">
        <v>1</v>
      </c>
      <c r="H237" s="55" t="s">
        <v>898</v>
      </c>
      <c r="I237" s="58" t="s">
        <v>616</v>
      </c>
      <c r="J237" s="45" t="s">
        <v>895</v>
      </c>
      <c r="K237" s="58" t="s">
        <v>900</v>
      </c>
      <c r="L237" s="72" t="s">
        <v>189</v>
      </c>
      <c r="M237" s="72" t="s">
        <v>901</v>
      </c>
      <c r="N237" s="62"/>
    </row>
    <row r="238" spans="1:14" s="61" customFormat="1">
      <c r="A238" s="55">
        <v>232</v>
      </c>
      <c r="B238" s="40" t="s">
        <v>892</v>
      </c>
      <c r="C238" s="47"/>
      <c r="D238" s="56" t="s">
        <v>902</v>
      </c>
      <c r="E238" s="72" t="s">
        <v>616</v>
      </c>
      <c r="F238" s="40" t="s">
        <v>899</v>
      </c>
      <c r="G238" s="55">
        <v>1</v>
      </c>
      <c r="H238" s="55" t="s">
        <v>902</v>
      </c>
      <c r="I238" s="58" t="s">
        <v>616</v>
      </c>
      <c r="J238" s="45" t="s">
        <v>895</v>
      </c>
      <c r="K238" s="58" t="s">
        <v>903</v>
      </c>
      <c r="L238" s="72" t="s">
        <v>630</v>
      </c>
      <c r="M238" s="72" t="s">
        <v>904</v>
      </c>
      <c r="N238" s="62"/>
    </row>
    <row r="239" spans="1:14" s="61" customFormat="1">
      <c r="A239" s="55">
        <v>233</v>
      </c>
      <c r="B239" s="40" t="s">
        <v>892</v>
      </c>
      <c r="C239" s="47"/>
      <c r="D239" s="56" t="s">
        <v>905</v>
      </c>
      <c r="E239" s="72" t="s">
        <v>616</v>
      </c>
      <c r="F239" s="40" t="s">
        <v>899</v>
      </c>
      <c r="G239" s="55">
        <v>1</v>
      </c>
      <c r="H239" s="55" t="s">
        <v>905</v>
      </c>
      <c r="I239" s="58" t="s">
        <v>616</v>
      </c>
      <c r="J239" s="45" t="s">
        <v>895</v>
      </c>
      <c r="K239" s="58" t="s">
        <v>906</v>
      </c>
      <c r="L239" s="72" t="s">
        <v>630</v>
      </c>
      <c r="M239" s="72" t="s">
        <v>907</v>
      </c>
      <c r="N239" s="62"/>
    </row>
    <row r="240" spans="1:14" s="61" customFormat="1">
      <c r="A240" s="55">
        <v>234</v>
      </c>
      <c r="B240" s="40" t="s">
        <v>892</v>
      </c>
      <c r="C240" s="47"/>
      <c r="D240" s="56" t="s">
        <v>908</v>
      </c>
      <c r="E240" s="72" t="s">
        <v>616</v>
      </c>
      <c r="F240" s="40" t="s">
        <v>899</v>
      </c>
      <c r="G240" s="55">
        <v>1</v>
      </c>
      <c r="H240" s="55" t="s">
        <v>908</v>
      </c>
      <c r="I240" s="58" t="s">
        <v>616</v>
      </c>
      <c r="J240" s="45" t="s">
        <v>895</v>
      </c>
      <c r="K240" s="58" t="s">
        <v>909</v>
      </c>
      <c r="L240" s="72" t="s">
        <v>630</v>
      </c>
      <c r="M240" s="72" t="s">
        <v>910</v>
      </c>
      <c r="N240" s="62"/>
    </row>
    <row r="241" spans="1:14" s="61" customFormat="1">
      <c r="A241" s="55">
        <v>235</v>
      </c>
      <c r="B241" s="40" t="s">
        <v>892</v>
      </c>
      <c r="C241" s="47"/>
      <c r="D241" s="56" t="s">
        <v>911</v>
      </c>
      <c r="E241" s="72" t="s">
        <v>616</v>
      </c>
      <c r="F241" s="40" t="s">
        <v>899</v>
      </c>
      <c r="G241" s="55">
        <v>1</v>
      </c>
      <c r="H241" s="55" t="s">
        <v>911</v>
      </c>
      <c r="I241" s="58" t="s">
        <v>616</v>
      </c>
      <c r="J241" s="45" t="s">
        <v>895</v>
      </c>
      <c r="K241" s="58" t="s">
        <v>912</v>
      </c>
      <c r="L241" s="72" t="s">
        <v>913</v>
      </c>
      <c r="M241" s="72" t="s">
        <v>914</v>
      </c>
      <c r="N241" s="62"/>
    </row>
    <row r="242" spans="1:14" s="61" customFormat="1">
      <c r="A242" s="55">
        <v>236</v>
      </c>
      <c r="B242" s="40" t="s">
        <v>892</v>
      </c>
      <c r="C242" s="47"/>
      <c r="D242" s="56" t="s">
        <v>915</v>
      </c>
      <c r="E242" s="72" t="s">
        <v>616</v>
      </c>
      <c r="F242" s="40" t="s">
        <v>894</v>
      </c>
      <c r="G242" s="55">
        <v>1</v>
      </c>
      <c r="H242" s="55" t="s">
        <v>915</v>
      </c>
      <c r="I242" s="58" t="s">
        <v>616</v>
      </c>
      <c r="J242" s="45" t="s">
        <v>916</v>
      </c>
      <c r="K242" s="58" t="s">
        <v>917</v>
      </c>
      <c r="L242" s="72" t="s">
        <v>256</v>
      </c>
      <c r="M242" s="72" t="s">
        <v>918</v>
      </c>
      <c r="N242" s="62"/>
    </row>
    <row r="243" spans="1:14" s="61" customFormat="1">
      <c r="A243" s="55">
        <v>237</v>
      </c>
      <c r="B243" s="40" t="s">
        <v>892</v>
      </c>
      <c r="C243" s="47"/>
      <c r="D243" s="56" t="s">
        <v>919</v>
      </c>
      <c r="E243" s="72" t="s">
        <v>616</v>
      </c>
      <c r="F243" s="40" t="s">
        <v>920</v>
      </c>
      <c r="G243" s="55">
        <v>1</v>
      </c>
      <c r="H243" s="55" t="s">
        <v>919</v>
      </c>
      <c r="I243" s="58" t="s">
        <v>616</v>
      </c>
      <c r="J243" s="45" t="s">
        <v>916</v>
      </c>
      <c r="K243" s="58" t="s">
        <v>921</v>
      </c>
      <c r="L243" s="72" t="s">
        <v>882</v>
      </c>
      <c r="M243" s="72" t="s">
        <v>922</v>
      </c>
      <c r="N243" s="62"/>
    </row>
    <row r="244" spans="1:14" s="61" customFormat="1">
      <c r="A244" s="55">
        <v>238</v>
      </c>
      <c r="B244" s="40" t="s">
        <v>892</v>
      </c>
      <c r="C244" s="47"/>
      <c r="D244" s="56" t="s">
        <v>923</v>
      </c>
      <c r="E244" s="72" t="s">
        <v>924</v>
      </c>
      <c r="F244" s="40" t="s">
        <v>925</v>
      </c>
      <c r="G244" s="55">
        <v>1</v>
      </c>
      <c r="H244" s="55" t="s">
        <v>923</v>
      </c>
      <c r="I244" s="58" t="s">
        <v>926</v>
      </c>
      <c r="J244" s="45" t="s">
        <v>927</v>
      </c>
      <c r="K244" s="58" t="s">
        <v>928</v>
      </c>
      <c r="L244" s="72" t="s">
        <v>374</v>
      </c>
      <c r="M244" s="72" t="s">
        <v>929</v>
      </c>
      <c r="N244" s="62"/>
    </row>
    <row r="245" spans="1:14" s="61" customFormat="1">
      <c r="A245" s="55">
        <v>239</v>
      </c>
      <c r="B245" s="40" t="s">
        <v>892</v>
      </c>
      <c r="C245" s="47"/>
      <c r="D245" s="56" t="s">
        <v>930</v>
      </c>
      <c r="E245" s="72" t="s">
        <v>924</v>
      </c>
      <c r="F245" s="40" t="s">
        <v>925</v>
      </c>
      <c r="G245" s="55">
        <v>1</v>
      </c>
      <c r="H245" s="55" t="s">
        <v>930</v>
      </c>
      <c r="I245" s="58">
        <v>11</v>
      </c>
      <c r="J245" s="45" t="s">
        <v>927</v>
      </c>
      <c r="K245" s="58" t="s">
        <v>928</v>
      </c>
      <c r="L245" s="72" t="s">
        <v>374</v>
      </c>
      <c r="M245" s="72" t="s">
        <v>929</v>
      </c>
      <c r="N245" s="62"/>
    </row>
    <row r="246" spans="1:14" s="61" customFormat="1">
      <c r="A246" s="55">
        <v>240</v>
      </c>
      <c r="B246" s="40" t="s">
        <v>892</v>
      </c>
      <c r="C246" s="47"/>
      <c r="D246" s="56" t="s">
        <v>931</v>
      </c>
      <c r="E246" s="72" t="s">
        <v>924</v>
      </c>
      <c r="F246" s="40" t="s">
        <v>925</v>
      </c>
      <c r="G246" s="55">
        <v>1</v>
      </c>
      <c r="H246" s="55" t="s">
        <v>931</v>
      </c>
      <c r="I246" s="58" t="s">
        <v>932</v>
      </c>
      <c r="J246" s="45" t="s">
        <v>927</v>
      </c>
      <c r="K246" s="58" t="s">
        <v>928</v>
      </c>
      <c r="L246" s="72" t="s">
        <v>374</v>
      </c>
      <c r="M246" s="72" t="s">
        <v>929</v>
      </c>
      <c r="N246" s="62"/>
    </row>
    <row r="247" spans="1:14" s="61" customFormat="1">
      <c r="A247" s="55">
        <v>241</v>
      </c>
      <c r="B247" s="40" t="s">
        <v>892</v>
      </c>
      <c r="C247" s="47"/>
      <c r="D247" s="56" t="s">
        <v>933</v>
      </c>
      <c r="E247" s="72" t="s">
        <v>924</v>
      </c>
      <c r="F247" s="40" t="s">
        <v>894</v>
      </c>
      <c r="G247" s="55">
        <v>1</v>
      </c>
      <c r="H247" s="55" t="s">
        <v>933</v>
      </c>
      <c r="I247" s="58" t="s">
        <v>934</v>
      </c>
      <c r="J247" s="45" t="s">
        <v>927</v>
      </c>
      <c r="K247" s="58" t="s">
        <v>935</v>
      </c>
      <c r="L247" s="72" t="s">
        <v>374</v>
      </c>
      <c r="M247" s="72" t="s">
        <v>936</v>
      </c>
      <c r="N247" s="62"/>
    </row>
    <row r="248" spans="1:14" s="61" customFormat="1">
      <c r="A248" s="55">
        <v>242</v>
      </c>
      <c r="B248" s="40" t="s">
        <v>892</v>
      </c>
      <c r="C248" s="47"/>
      <c r="D248" s="56" t="s">
        <v>937</v>
      </c>
      <c r="E248" s="72" t="s">
        <v>924</v>
      </c>
      <c r="F248" s="40" t="s">
        <v>894</v>
      </c>
      <c r="G248" s="55">
        <v>1</v>
      </c>
      <c r="H248" s="55" t="s">
        <v>937</v>
      </c>
      <c r="I248" s="58" t="s">
        <v>938</v>
      </c>
      <c r="J248" s="45" t="s">
        <v>927</v>
      </c>
      <c r="K248" s="58" t="s">
        <v>939</v>
      </c>
      <c r="L248" s="72" t="s">
        <v>374</v>
      </c>
      <c r="M248" s="72" t="s">
        <v>940</v>
      </c>
      <c r="N248" s="62"/>
    </row>
    <row r="249" spans="1:14" s="61" customFormat="1">
      <c r="A249" s="55">
        <v>243</v>
      </c>
      <c r="B249" s="40" t="s">
        <v>892</v>
      </c>
      <c r="C249" s="47"/>
      <c r="D249" s="56" t="s">
        <v>941</v>
      </c>
      <c r="E249" s="72" t="s">
        <v>924</v>
      </c>
      <c r="F249" s="40" t="s">
        <v>925</v>
      </c>
      <c r="G249" s="55">
        <v>1</v>
      </c>
      <c r="H249" s="55" t="s">
        <v>941</v>
      </c>
      <c r="I249" s="58" t="s">
        <v>942</v>
      </c>
      <c r="J249" s="45" t="s">
        <v>927</v>
      </c>
      <c r="K249" s="58" t="s">
        <v>943</v>
      </c>
      <c r="L249" s="72" t="s">
        <v>374</v>
      </c>
      <c r="M249" s="72" t="s">
        <v>944</v>
      </c>
      <c r="N249" s="62"/>
    </row>
    <row r="250" spans="1:14" s="61" customFormat="1">
      <c r="A250" s="55">
        <v>244</v>
      </c>
      <c r="B250" s="40" t="s">
        <v>892</v>
      </c>
      <c r="C250" s="47"/>
      <c r="D250" s="56" t="s">
        <v>945</v>
      </c>
      <c r="E250" s="72" t="s">
        <v>924</v>
      </c>
      <c r="F250" s="40" t="s">
        <v>899</v>
      </c>
      <c r="G250" s="55">
        <v>1</v>
      </c>
      <c r="H250" s="55" t="s">
        <v>945</v>
      </c>
      <c r="I250" s="58" t="s">
        <v>946</v>
      </c>
      <c r="J250" s="45" t="s">
        <v>895</v>
      </c>
      <c r="K250" s="58" t="s">
        <v>947</v>
      </c>
      <c r="L250" s="72" t="s">
        <v>627</v>
      </c>
      <c r="M250" s="72" t="s">
        <v>948</v>
      </c>
      <c r="N250" s="62"/>
    </row>
    <row r="251" spans="1:14" s="61" customFormat="1">
      <c r="A251" s="55">
        <v>245</v>
      </c>
      <c r="B251" s="40" t="s">
        <v>892</v>
      </c>
      <c r="C251" s="47"/>
      <c r="D251" s="56" t="s">
        <v>949</v>
      </c>
      <c r="E251" s="72" t="s">
        <v>924</v>
      </c>
      <c r="F251" s="40" t="s">
        <v>894</v>
      </c>
      <c r="G251" s="55">
        <v>1</v>
      </c>
      <c r="H251" s="55" t="s">
        <v>949</v>
      </c>
      <c r="I251" s="58" t="s">
        <v>950</v>
      </c>
      <c r="J251" s="45" t="s">
        <v>927</v>
      </c>
      <c r="K251" s="58" t="s">
        <v>951</v>
      </c>
      <c r="L251" s="72" t="s">
        <v>627</v>
      </c>
      <c r="M251" s="72" t="s">
        <v>952</v>
      </c>
      <c r="N251" s="62"/>
    </row>
    <row r="252" spans="1:14" s="61" customFormat="1">
      <c r="A252" s="55">
        <v>246</v>
      </c>
      <c r="B252" s="40" t="s">
        <v>953</v>
      </c>
      <c r="C252" s="47"/>
      <c r="D252" s="56" t="s">
        <v>954</v>
      </c>
      <c r="E252" s="72" t="s">
        <v>616</v>
      </c>
      <c r="F252" s="85" t="s">
        <v>955</v>
      </c>
      <c r="G252" s="55">
        <v>1</v>
      </c>
      <c r="H252" s="55" t="s">
        <v>954</v>
      </c>
      <c r="I252" s="72" t="s">
        <v>616</v>
      </c>
      <c r="J252" s="72" t="s">
        <v>616</v>
      </c>
      <c r="K252" s="68" t="s">
        <v>110</v>
      </c>
      <c r="L252" s="86"/>
      <c r="M252" s="86"/>
      <c r="N252" s="62"/>
    </row>
    <row r="253" spans="1:14" s="61" customFormat="1">
      <c r="A253" s="55">
        <v>247</v>
      </c>
      <c r="B253" s="40" t="s">
        <v>953</v>
      </c>
      <c r="C253" s="47"/>
      <c r="D253" s="56" t="s">
        <v>956</v>
      </c>
      <c r="E253" s="72" t="s">
        <v>616</v>
      </c>
      <c r="F253" s="85" t="s">
        <v>957</v>
      </c>
      <c r="G253" s="55">
        <v>1</v>
      </c>
      <c r="H253" s="55" t="s">
        <v>956</v>
      </c>
      <c r="I253" s="72" t="s">
        <v>616</v>
      </c>
      <c r="J253" s="72" t="s">
        <v>616</v>
      </c>
      <c r="K253" s="68"/>
      <c r="L253" s="86"/>
      <c r="M253" s="86"/>
      <c r="N253" s="62"/>
    </row>
    <row r="254" spans="1:14" s="61" customFormat="1">
      <c r="A254" s="55">
        <v>248</v>
      </c>
      <c r="B254" s="40" t="s">
        <v>953</v>
      </c>
      <c r="C254" s="47"/>
      <c r="D254" s="56" t="s">
        <v>958</v>
      </c>
      <c r="E254" s="72" t="s">
        <v>616</v>
      </c>
      <c r="F254" s="85" t="s">
        <v>959</v>
      </c>
      <c r="G254" s="55">
        <v>1</v>
      </c>
      <c r="H254" s="55" t="s">
        <v>958</v>
      </c>
      <c r="I254" s="72" t="s">
        <v>616</v>
      </c>
      <c r="J254" s="72" t="s">
        <v>616</v>
      </c>
      <c r="K254" s="68"/>
      <c r="L254" s="86"/>
      <c r="M254" s="86"/>
      <c r="N254" s="62"/>
    </row>
    <row r="255" spans="1:14" s="61" customFormat="1">
      <c r="A255" s="55">
        <v>249</v>
      </c>
      <c r="B255" s="40" t="s">
        <v>953</v>
      </c>
      <c r="C255" s="47"/>
      <c r="D255" s="56" t="s">
        <v>960</v>
      </c>
      <c r="E255" s="72" t="s">
        <v>616</v>
      </c>
      <c r="F255" s="85" t="s">
        <v>961</v>
      </c>
      <c r="G255" s="55">
        <v>1</v>
      </c>
      <c r="H255" s="55" t="s">
        <v>960</v>
      </c>
      <c r="I255" s="72" t="s">
        <v>616</v>
      </c>
      <c r="J255" s="72" t="s">
        <v>616</v>
      </c>
      <c r="K255" s="68" t="s">
        <v>962</v>
      </c>
      <c r="L255" s="86"/>
      <c r="M255" s="86"/>
      <c r="N255" s="62"/>
    </row>
    <row r="256" spans="1:14" s="61" customFormat="1">
      <c r="A256" s="55">
        <v>250</v>
      </c>
      <c r="B256" s="40" t="s">
        <v>953</v>
      </c>
      <c r="C256" s="47"/>
      <c r="D256" s="56" t="s">
        <v>963</v>
      </c>
      <c r="E256" s="72" t="s">
        <v>616</v>
      </c>
      <c r="F256" s="85" t="s">
        <v>964</v>
      </c>
      <c r="G256" s="55">
        <v>1</v>
      </c>
      <c r="H256" s="55" t="s">
        <v>963</v>
      </c>
      <c r="I256" s="72" t="s">
        <v>616</v>
      </c>
      <c r="J256" s="72" t="s">
        <v>616</v>
      </c>
      <c r="K256" s="68"/>
      <c r="L256" s="86"/>
      <c r="M256" s="86"/>
      <c r="N256" s="62"/>
    </row>
    <row r="257" spans="1:14" s="61" customFormat="1">
      <c r="A257" s="55">
        <v>251</v>
      </c>
      <c r="B257" s="40" t="s">
        <v>953</v>
      </c>
      <c r="C257" s="47"/>
      <c r="D257" s="56" t="s">
        <v>965</v>
      </c>
      <c r="E257" s="72" t="s">
        <v>616</v>
      </c>
      <c r="F257" s="85" t="s">
        <v>966</v>
      </c>
      <c r="G257" s="55">
        <v>1</v>
      </c>
      <c r="H257" s="55" t="s">
        <v>965</v>
      </c>
      <c r="I257" s="72" t="s">
        <v>616</v>
      </c>
      <c r="J257" s="72" t="s">
        <v>616</v>
      </c>
      <c r="K257" s="68" t="s">
        <v>110</v>
      </c>
      <c r="L257" s="86"/>
      <c r="M257" s="86"/>
      <c r="N257" s="62">
        <f>COUNT(G252:G257)</f>
        <v>6</v>
      </c>
    </row>
    <row r="258" spans="1:14" s="61" customFormat="1">
      <c r="A258" s="55">
        <v>252</v>
      </c>
      <c r="B258" s="40" t="s">
        <v>967</v>
      </c>
      <c r="C258" s="47"/>
      <c r="D258" s="56" t="s">
        <v>968</v>
      </c>
      <c r="E258" s="72" t="s">
        <v>969</v>
      </c>
      <c r="F258" s="85"/>
      <c r="G258" s="55">
        <v>1</v>
      </c>
      <c r="H258" s="55" t="s">
        <v>968</v>
      </c>
      <c r="I258" s="58" t="s">
        <v>970</v>
      </c>
      <c r="J258" s="72" t="s">
        <v>971</v>
      </c>
      <c r="K258" s="58" t="s">
        <v>972</v>
      </c>
      <c r="L258" s="72" t="s">
        <v>862</v>
      </c>
      <c r="M258" s="72" t="s">
        <v>973</v>
      </c>
      <c r="N258" s="62"/>
    </row>
    <row r="259" spans="1:14" s="61" customFormat="1">
      <c r="A259" s="55">
        <v>253</v>
      </c>
      <c r="B259" s="59" t="s">
        <v>974</v>
      </c>
      <c r="C259" s="65"/>
      <c r="D259" s="56" t="s">
        <v>975</v>
      </c>
      <c r="E259" s="72" t="s">
        <v>976</v>
      </c>
      <c r="F259" s="59" t="s">
        <v>977</v>
      </c>
      <c r="G259" s="55">
        <v>1</v>
      </c>
      <c r="H259" s="55" t="s">
        <v>975</v>
      </c>
      <c r="I259" s="58" t="s">
        <v>978</v>
      </c>
      <c r="J259" s="86" t="s">
        <v>979</v>
      </c>
      <c r="K259" s="58" t="s">
        <v>980</v>
      </c>
      <c r="L259" s="72" t="s">
        <v>827</v>
      </c>
      <c r="M259" s="72" t="s">
        <v>981</v>
      </c>
      <c r="N259" s="62"/>
    </row>
    <row r="260" spans="1:14" s="61" customFormat="1">
      <c r="A260" s="55">
        <v>254</v>
      </c>
      <c r="B260" s="40" t="s">
        <v>982</v>
      </c>
      <c r="C260" s="47"/>
      <c r="D260" s="56" t="s">
        <v>983</v>
      </c>
      <c r="E260" s="72" t="s">
        <v>984</v>
      </c>
      <c r="F260" s="59" t="s">
        <v>985</v>
      </c>
      <c r="G260" s="55">
        <v>1</v>
      </c>
      <c r="H260" s="55" t="s">
        <v>983</v>
      </c>
      <c r="I260" s="58" t="s">
        <v>986</v>
      </c>
      <c r="J260" s="45" t="s">
        <v>987</v>
      </c>
      <c r="K260" s="58" t="s">
        <v>988</v>
      </c>
      <c r="L260" s="72" t="s">
        <v>220</v>
      </c>
      <c r="M260" s="72" t="s">
        <v>989</v>
      </c>
      <c r="N260" s="62"/>
    </row>
    <row r="261" spans="1:14" s="61" customFormat="1">
      <c r="A261" s="55">
        <v>255</v>
      </c>
      <c r="B261" s="40" t="s">
        <v>982</v>
      </c>
      <c r="C261" s="47"/>
      <c r="D261" s="56" t="s">
        <v>990</v>
      </c>
      <c r="E261" s="72" t="s">
        <v>984</v>
      </c>
      <c r="F261" s="59" t="s">
        <v>985</v>
      </c>
      <c r="G261" s="55">
        <v>1</v>
      </c>
      <c r="H261" s="55" t="s">
        <v>990</v>
      </c>
      <c r="I261" s="58" t="s">
        <v>991</v>
      </c>
      <c r="J261" s="45" t="s">
        <v>987</v>
      </c>
      <c r="K261" s="58" t="s">
        <v>992</v>
      </c>
      <c r="L261" s="72" t="s">
        <v>220</v>
      </c>
      <c r="M261" s="72" t="s">
        <v>993</v>
      </c>
      <c r="N261" s="62"/>
    </row>
    <row r="262" spans="1:14" s="61" customFormat="1">
      <c r="A262" s="55">
        <v>256</v>
      </c>
      <c r="B262" s="40" t="s">
        <v>982</v>
      </c>
      <c r="C262" s="47"/>
      <c r="D262" s="56" t="s">
        <v>994</v>
      </c>
      <c r="E262" s="72" t="s">
        <v>995</v>
      </c>
      <c r="F262" s="59" t="s">
        <v>996</v>
      </c>
      <c r="G262" s="55">
        <v>1</v>
      </c>
      <c r="H262" s="55" t="s">
        <v>994</v>
      </c>
      <c r="I262" s="58" t="s">
        <v>494</v>
      </c>
      <c r="J262" s="45" t="s">
        <v>997</v>
      </c>
      <c r="K262" s="58" t="s">
        <v>998</v>
      </c>
      <c r="L262" s="72" t="s">
        <v>460</v>
      </c>
      <c r="M262" s="72" t="s">
        <v>999</v>
      </c>
      <c r="N262" s="62"/>
    </row>
    <row r="263" spans="1:14" s="61" customFormat="1">
      <c r="A263" s="55">
        <v>257</v>
      </c>
      <c r="B263" s="40" t="s">
        <v>1000</v>
      </c>
      <c r="C263" s="47"/>
      <c r="D263" s="56" t="s">
        <v>1001</v>
      </c>
      <c r="E263" s="87"/>
      <c r="F263" s="85"/>
      <c r="G263" s="55">
        <v>1</v>
      </c>
      <c r="H263" s="55" t="s">
        <v>1001</v>
      </c>
      <c r="I263" s="86"/>
      <c r="J263" s="88"/>
      <c r="K263" s="72" t="s">
        <v>1002</v>
      </c>
      <c r="L263" s="72" t="s">
        <v>1003</v>
      </c>
      <c r="M263" s="72" t="s">
        <v>1004</v>
      </c>
      <c r="N263" s="62"/>
    </row>
    <row r="264" spans="1:14" s="61" customFormat="1">
      <c r="A264" s="55">
        <v>258</v>
      </c>
      <c r="B264" s="40" t="s">
        <v>1005</v>
      </c>
      <c r="C264" s="47"/>
      <c r="D264" s="56" t="s">
        <v>1001</v>
      </c>
      <c r="E264" s="87"/>
      <c r="F264" s="85"/>
      <c r="G264" s="55">
        <v>1</v>
      </c>
      <c r="H264" s="55" t="s">
        <v>1001</v>
      </c>
      <c r="I264" s="86"/>
      <c r="J264" s="88"/>
      <c r="K264" s="72" t="s">
        <v>1006</v>
      </c>
      <c r="L264" s="72" t="s">
        <v>1003</v>
      </c>
      <c r="M264" s="72" t="s">
        <v>1007</v>
      </c>
      <c r="N264" s="62"/>
    </row>
    <row r="265" spans="1:14" s="61" customFormat="1">
      <c r="A265" s="55">
        <v>259</v>
      </c>
      <c r="B265" s="40" t="s">
        <v>1008</v>
      </c>
      <c r="C265" s="47"/>
      <c r="D265" s="56" t="s">
        <v>1001</v>
      </c>
      <c r="E265" s="87"/>
      <c r="F265" s="85"/>
      <c r="G265" s="55">
        <v>1</v>
      </c>
      <c r="H265" s="55" t="s">
        <v>1001</v>
      </c>
      <c r="I265" s="86"/>
      <c r="J265" s="88"/>
      <c r="K265" s="72" t="s">
        <v>1009</v>
      </c>
      <c r="L265" s="72" t="s">
        <v>1003</v>
      </c>
      <c r="M265" s="72" t="s">
        <v>1010</v>
      </c>
      <c r="N265" s="62"/>
    </row>
    <row r="266" spans="1:14" s="61" customFormat="1">
      <c r="A266" s="55">
        <v>260</v>
      </c>
      <c r="B266" s="59" t="s">
        <v>1011</v>
      </c>
      <c r="C266" s="65"/>
      <c r="D266" s="56" t="s">
        <v>965</v>
      </c>
      <c r="E266" s="72" t="s">
        <v>1012</v>
      </c>
      <c r="F266" s="59" t="s">
        <v>1013</v>
      </c>
      <c r="G266" s="55">
        <v>1</v>
      </c>
      <c r="H266" s="55" t="s">
        <v>965</v>
      </c>
      <c r="I266" s="65" t="s">
        <v>1014</v>
      </c>
      <c r="J266" s="89" t="s">
        <v>1015</v>
      </c>
      <c r="K266" s="65" t="s">
        <v>1016</v>
      </c>
      <c r="L266" s="72" t="s">
        <v>1017</v>
      </c>
      <c r="M266" s="59" t="s">
        <v>1018</v>
      </c>
      <c r="N266" s="62"/>
    </row>
    <row r="267" spans="1:14" s="61" customFormat="1">
      <c r="A267" s="55">
        <v>261</v>
      </c>
      <c r="B267" s="59" t="s">
        <v>1011</v>
      </c>
      <c r="C267" s="65"/>
      <c r="D267" s="56" t="s">
        <v>954</v>
      </c>
      <c r="E267" s="72" t="s">
        <v>1012</v>
      </c>
      <c r="F267" s="59" t="s">
        <v>1019</v>
      </c>
      <c r="G267" s="55">
        <v>1</v>
      </c>
      <c r="H267" s="55" t="s">
        <v>954</v>
      </c>
      <c r="I267" s="65" t="s">
        <v>1020</v>
      </c>
      <c r="J267" s="89" t="s">
        <v>1015</v>
      </c>
      <c r="K267" s="65" t="s">
        <v>1021</v>
      </c>
      <c r="L267" s="72" t="s">
        <v>1022</v>
      </c>
      <c r="M267" s="59" t="s">
        <v>1023</v>
      </c>
      <c r="N267" s="62"/>
    </row>
    <row r="268" spans="1:14" s="61" customFormat="1">
      <c r="A268" s="55">
        <v>262</v>
      </c>
      <c r="B268" s="59" t="s">
        <v>1024</v>
      </c>
      <c r="C268" s="65"/>
      <c r="D268" s="56" t="s">
        <v>1025</v>
      </c>
      <c r="E268" s="72" t="s">
        <v>1026</v>
      </c>
      <c r="F268" s="59" t="s">
        <v>1027</v>
      </c>
      <c r="G268" s="55">
        <v>1</v>
      </c>
      <c r="H268" s="55" t="s">
        <v>1025</v>
      </c>
      <c r="I268" s="65" t="s">
        <v>1028</v>
      </c>
      <c r="J268" s="89" t="s">
        <v>1015</v>
      </c>
      <c r="K268" s="65" t="s">
        <v>1029</v>
      </c>
      <c r="L268" s="72" t="s">
        <v>1017</v>
      </c>
      <c r="M268" s="59" t="s">
        <v>1030</v>
      </c>
      <c r="N268" s="62"/>
    </row>
    <row r="269" spans="1:14" s="61" customFormat="1">
      <c r="A269" s="55">
        <v>263</v>
      </c>
      <c r="B269" s="59" t="s">
        <v>1024</v>
      </c>
      <c r="C269" s="65"/>
      <c r="D269" s="56" t="s">
        <v>1031</v>
      </c>
      <c r="E269" s="72" t="s">
        <v>1026</v>
      </c>
      <c r="F269" s="59" t="s">
        <v>1032</v>
      </c>
      <c r="G269" s="55">
        <v>1</v>
      </c>
      <c r="H269" s="55" t="s">
        <v>1031</v>
      </c>
      <c r="I269" s="65" t="s">
        <v>1033</v>
      </c>
      <c r="J269" s="89" t="s">
        <v>1015</v>
      </c>
      <c r="K269" s="65" t="s">
        <v>1034</v>
      </c>
      <c r="L269" s="72" t="s">
        <v>130</v>
      </c>
      <c r="M269" s="59" t="s">
        <v>1035</v>
      </c>
      <c r="N269" s="62"/>
    </row>
    <row r="270" spans="1:14" s="61" customFormat="1">
      <c r="A270" s="55">
        <v>264</v>
      </c>
      <c r="B270" s="72" t="s">
        <v>1036</v>
      </c>
      <c r="C270" s="59"/>
      <c r="D270" s="56" t="s">
        <v>965</v>
      </c>
      <c r="E270" s="72" t="s">
        <v>1037</v>
      </c>
      <c r="F270" s="40" t="s">
        <v>1038</v>
      </c>
      <c r="G270" s="55">
        <v>1</v>
      </c>
      <c r="H270" s="55" t="s">
        <v>965</v>
      </c>
      <c r="I270" s="59" t="s">
        <v>1039</v>
      </c>
      <c r="J270" s="40" t="s">
        <v>1015</v>
      </c>
      <c r="K270" s="59" t="s">
        <v>1040</v>
      </c>
      <c r="L270" s="59" t="s">
        <v>627</v>
      </c>
      <c r="M270" s="59" t="s">
        <v>1041</v>
      </c>
      <c r="N270" s="62"/>
    </row>
    <row r="271" spans="1:14" s="61" customFormat="1">
      <c r="A271" s="55">
        <v>265</v>
      </c>
      <c r="B271" s="231" t="s">
        <v>1042</v>
      </c>
      <c r="C271" s="232"/>
      <c r="D271" s="56" t="s">
        <v>965</v>
      </c>
      <c r="E271" s="72" t="s">
        <v>1043</v>
      </c>
      <c r="F271" s="40" t="s">
        <v>1044</v>
      </c>
      <c r="G271" s="55">
        <v>1</v>
      </c>
      <c r="H271" s="55" t="s">
        <v>965</v>
      </c>
      <c r="I271" s="85">
        <v>151300026</v>
      </c>
      <c r="J271" s="79" t="s">
        <v>1015</v>
      </c>
      <c r="K271" s="59" t="s">
        <v>1045</v>
      </c>
      <c r="L271" s="59" t="s">
        <v>1046</v>
      </c>
      <c r="M271" s="59" t="s">
        <v>1047</v>
      </c>
      <c r="N271" s="62"/>
    </row>
    <row r="272" spans="1:14" s="61" customFormat="1">
      <c r="A272" s="55">
        <v>266</v>
      </c>
      <c r="B272" s="89" t="s">
        <v>1048</v>
      </c>
      <c r="C272" s="40"/>
      <c r="D272" s="56" t="s">
        <v>965</v>
      </c>
      <c r="E272" s="87"/>
      <c r="F272" s="88"/>
      <c r="G272" s="55">
        <v>1</v>
      </c>
      <c r="H272" s="55" t="s">
        <v>965</v>
      </c>
      <c r="I272" s="85"/>
      <c r="J272" s="79"/>
      <c r="K272" s="59" t="s">
        <v>1049</v>
      </c>
      <c r="L272" s="59" t="s">
        <v>1046</v>
      </c>
      <c r="M272" s="59" t="s">
        <v>1050</v>
      </c>
      <c r="N272" s="62"/>
    </row>
    <row r="273" spans="1:14" s="61" customFormat="1">
      <c r="A273" s="55">
        <v>267</v>
      </c>
      <c r="B273" s="89" t="s">
        <v>1051</v>
      </c>
      <c r="C273" s="40"/>
      <c r="D273" s="56" t="s">
        <v>965</v>
      </c>
      <c r="E273" s="72" t="s">
        <v>369</v>
      </c>
      <c r="F273" s="89" t="s">
        <v>1052</v>
      </c>
      <c r="G273" s="55">
        <v>1</v>
      </c>
      <c r="H273" s="55" t="s">
        <v>965</v>
      </c>
      <c r="I273" s="85"/>
      <c r="J273" s="40" t="s">
        <v>1053</v>
      </c>
      <c r="K273" s="59" t="s">
        <v>1054</v>
      </c>
      <c r="L273" s="59"/>
      <c r="M273" s="59"/>
      <c r="N273" s="62"/>
    </row>
    <row r="274" spans="1:14" s="61" customFormat="1">
      <c r="A274" s="55">
        <v>268</v>
      </c>
      <c r="B274" s="89" t="s">
        <v>1051</v>
      </c>
      <c r="C274" s="40"/>
      <c r="D274" s="56" t="s">
        <v>954</v>
      </c>
      <c r="E274" s="72" t="s">
        <v>369</v>
      </c>
      <c r="F274" s="89" t="s">
        <v>1052</v>
      </c>
      <c r="G274" s="55">
        <v>1</v>
      </c>
      <c r="H274" s="55" t="s">
        <v>954</v>
      </c>
      <c r="I274" s="85"/>
      <c r="J274" s="40" t="s">
        <v>1053</v>
      </c>
      <c r="K274" s="59" t="s">
        <v>1055</v>
      </c>
      <c r="L274" s="59" t="s">
        <v>1046</v>
      </c>
      <c r="M274" s="59" t="s">
        <v>1050</v>
      </c>
      <c r="N274" s="62"/>
    </row>
    <row r="275" spans="1:14" s="61" customFormat="1">
      <c r="A275" s="55">
        <v>269</v>
      </c>
      <c r="B275" s="89" t="s">
        <v>1051</v>
      </c>
      <c r="C275" s="40"/>
      <c r="D275" s="56" t="s">
        <v>956</v>
      </c>
      <c r="E275" s="72" t="s">
        <v>369</v>
      </c>
      <c r="F275" s="89" t="s">
        <v>1052</v>
      </c>
      <c r="G275" s="55">
        <v>1</v>
      </c>
      <c r="H275" s="55" t="s">
        <v>956</v>
      </c>
      <c r="I275" s="85"/>
      <c r="J275" s="40" t="s">
        <v>1053</v>
      </c>
      <c r="K275" s="59" t="s">
        <v>1056</v>
      </c>
      <c r="L275" s="59" t="s">
        <v>1046</v>
      </c>
      <c r="M275" s="59" t="s">
        <v>1050</v>
      </c>
      <c r="N275" s="62"/>
    </row>
    <row r="276" spans="1:14" s="61" customFormat="1">
      <c r="A276" s="55">
        <v>270</v>
      </c>
      <c r="B276" s="89" t="s">
        <v>1057</v>
      </c>
      <c r="C276" s="40"/>
      <c r="D276" s="56" t="s">
        <v>958</v>
      </c>
      <c r="E276" s="72" t="s">
        <v>1058</v>
      </c>
      <c r="F276" s="88"/>
      <c r="G276" s="55">
        <v>1</v>
      </c>
      <c r="H276" s="55" t="s">
        <v>958</v>
      </c>
      <c r="I276" s="85"/>
      <c r="J276" s="79"/>
      <c r="K276" s="59" t="s">
        <v>1059</v>
      </c>
      <c r="L276" s="59" t="s">
        <v>1046</v>
      </c>
      <c r="M276" s="59" t="s">
        <v>1050</v>
      </c>
      <c r="N276" s="62"/>
    </row>
    <row r="277" spans="1:14" s="61" customFormat="1">
      <c r="A277" s="63"/>
      <c r="B277" s="34"/>
      <c r="C277" s="34"/>
      <c r="D277" s="90"/>
      <c r="E277" s="64"/>
      <c r="F277" s="63"/>
      <c r="G277" s="63"/>
      <c r="H277" s="63"/>
      <c r="I277" s="64"/>
      <c r="J277" s="34"/>
      <c r="K277" s="63"/>
      <c r="L277" s="63"/>
      <c r="M277" s="63"/>
      <c r="N277" s="62"/>
    </row>
    <row r="278" spans="1:14" s="61" customFormat="1">
      <c r="A278" s="63"/>
      <c r="B278" s="34"/>
      <c r="C278" s="34"/>
      <c r="D278" s="90"/>
      <c r="E278" s="64"/>
      <c r="F278" s="63"/>
      <c r="G278" s="63"/>
      <c r="H278" s="63"/>
      <c r="I278" s="64"/>
      <c r="J278" s="34"/>
      <c r="K278" s="63"/>
      <c r="L278" s="63"/>
      <c r="M278" s="63"/>
      <c r="N278" s="62"/>
    </row>
    <row r="279" spans="1:14" s="97" customFormat="1" ht="21" customHeight="1">
      <c r="A279" s="39"/>
      <c r="B279" s="91" t="s">
        <v>1060</v>
      </c>
      <c r="C279" s="92"/>
      <c r="D279" s="93"/>
      <c r="E279" s="92"/>
      <c r="F279" s="39"/>
      <c r="G279" s="39" t="s">
        <v>1061</v>
      </c>
      <c r="H279" s="94"/>
      <c r="I279" s="95"/>
      <c r="J279" s="92"/>
      <c r="K279" s="92"/>
      <c r="L279" s="92"/>
      <c r="M279" s="92"/>
      <c r="N279" s="96"/>
    </row>
  </sheetData>
  <sheetProtection formatCells="0" formatColumns="0" formatRows="0" insertColumns="0" insertRows="0" insertHyperlinks="0" deleteColumns="0" deleteRows="0" sort="0" autoFilter="0" pivotTables="0"/>
  <autoFilter ref="A6:N276" xr:uid="{9CF019C4-1CDA-4078-AB4C-709F212A5DE9}">
    <filterColumn colId="1" showButton="0"/>
    <filterColumn colId="4" showButton="0"/>
  </autoFilter>
  <mergeCells count="9">
    <mergeCell ref="A5:E5"/>
    <mergeCell ref="B6:C6"/>
    <mergeCell ref="B271:C271"/>
    <mergeCell ref="C1:I2"/>
    <mergeCell ref="J1:K1"/>
    <mergeCell ref="J2:K2"/>
    <mergeCell ref="J3:K3"/>
    <mergeCell ref="A4:B4"/>
    <mergeCell ref="E4:F4"/>
  </mergeCells>
  <printOptions horizontalCentered="1"/>
  <pageMargins left="0.19685039370078741" right="0.19685039370078741" top="0.19685039370078741" bottom="0.19685039370078741" header="0" footer="0"/>
  <pageSetup paperSize="9" scale="56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9335-0F58-4FCB-9999-AB272074E3A3}">
  <sheetPr>
    <tabColor rgb="FF00B050"/>
    <pageSetUpPr fitToPage="1"/>
  </sheetPr>
  <dimension ref="A1:N149"/>
  <sheetViews>
    <sheetView showGridLines="0" zoomScale="84" zoomScaleNormal="84" workbookViewId="0">
      <pane xSplit="7" ySplit="6" topLeftCell="H133" activePane="bottomRight" state="frozen"/>
      <selection activeCell="I282" sqref="I282"/>
      <selection pane="topRight" activeCell="I282" sqref="I282"/>
      <selection pane="bottomLeft" activeCell="I282" sqref="I282"/>
      <selection pane="bottomRight" activeCell="I282" sqref="I282"/>
    </sheetView>
  </sheetViews>
  <sheetFormatPr defaultRowHeight="15.75"/>
  <cols>
    <col min="1" max="1" width="8.5703125" style="31" customWidth="1"/>
    <col min="2" max="2" width="5.140625" style="31" customWidth="1"/>
    <col min="3" max="3" width="31.28515625" style="31" customWidth="1"/>
    <col min="4" max="4" width="10.42578125" style="31" customWidth="1"/>
    <col min="5" max="5" width="17" style="31" customWidth="1"/>
    <col min="6" max="6" width="21.28515625" style="31" customWidth="1"/>
    <col min="7" max="7" width="11.28515625" style="31" customWidth="1"/>
    <col min="8" max="8" width="37.85546875" style="61" customWidth="1"/>
    <col min="9" max="9" width="37.140625" style="31" bestFit="1" customWidth="1"/>
    <col min="10" max="10" width="21.28515625" style="31" hidden="1" customWidth="1"/>
    <col min="11" max="11" width="37.140625" style="31" customWidth="1"/>
    <col min="12" max="12" width="21.28515625" style="31" hidden="1" customWidth="1"/>
    <col min="13" max="256" width="9.140625" style="31"/>
    <col min="257" max="257" width="8.5703125" style="31" customWidth="1"/>
    <col min="258" max="258" width="5.140625" style="31" customWidth="1"/>
    <col min="259" max="259" width="31.28515625" style="31" customWidth="1"/>
    <col min="260" max="260" width="10.42578125" style="31" customWidth="1"/>
    <col min="261" max="261" width="17" style="31" customWidth="1"/>
    <col min="262" max="262" width="21.28515625" style="31" customWidth="1"/>
    <col min="263" max="263" width="11.28515625" style="31" customWidth="1"/>
    <col min="264" max="264" width="37.85546875" style="31" customWidth="1"/>
    <col min="265" max="265" width="37.140625" style="31" bestFit="1" customWidth="1"/>
    <col min="266" max="266" width="0" style="31" hidden="1" customWidth="1"/>
    <col min="267" max="267" width="37.140625" style="31" customWidth="1"/>
    <col min="268" max="268" width="0" style="31" hidden="1" customWidth="1"/>
    <col min="269" max="512" width="9.140625" style="31"/>
    <col min="513" max="513" width="8.5703125" style="31" customWidth="1"/>
    <col min="514" max="514" width="5.140625" style="31" customWidth="1"/>
    <col min="515" max="515" width="31.28515625" style="31" customWidth="1"/>
    <col min="516" max="516" width="10.42578125" style="31" customWidth="1"/>
    <col min="517" max="517" width="17" style="31" customWidth="1"/>
    <col min="518" max="518" width="21.28515625" style="31" customWidth="1"/>
    <col min="519" max="519" width="11.28515625" style="31" customWidth="1"/>
    <col min="520" max="520" width="37.85546875" style="31" customWidth="1"/>
    <col min="521" max="521" width="37.140625" style="31" bestFit="1" customWidth="1"/>
    <col min="522" max="522" width="0" style="31" hidden="1" customWidth="1"/>
    <col min="523" max="523" width="37.140625" style="31" customWidth="1"/>
    <col min="524" max="524" width="0" style="31" hidden="1" customWidth="1"/>
    <col min="525" max="768" width="9.140625" style="31"/>
    <col min="769" max="769" width="8.5703125" style="31" customWidth="1"/>
    <col min="770" max="770" width="5.140625" style="31" customWidth="1"/>
    <col min="771" max="771" width="31.28515625" style="31" customWidth="1"/>
    <col min="772" max="772" width="10.42578125" style="31" customWidth="1"/>
    <col min="773" max="773" width="17" style="31" customWidth="1"/>
    <col min="774" max="774" width="21.28515625" style="31" customWidth="1"/>
    <col min="775" max="775" width="11.28515625" style="31" customWidth="1"/>
    <col min="776" max="776" width="37.85546875" style="31" customWidth="1"/>
    <col min="777" max="777" width="37.140625" style="31" bestFit="1" customWidth="1"/>
    <col min="778" max="778" width="0" style="31" hidden="1" customWidth="1"/>
    <col min="779" max="779" width="37.140625" style="31" customWidth="1"/>
    <col min="780" max="780" width="0" style="31" hidden="1" customWidth="1"/>
    <col min="781" max="1024" width="9.140625" style="31"/>
    <col min="1025" max="1025" width="8.5703125" style="31" customWidth="1"/>
    <col min="1026" max="1026" width="5.140625" style="31" customWidth="1"/>
    <col min="1027" max="1027" width="31.28515625" style="31" customWidth="1"/>
    <col min="1028" max="1028" width="10.42578125" style="31" customWidth="1"/>
    <col min="1029" max="1029" width="17" style="31" customWidth="1"/>
    <col min="1030" max="1030" width="21.28515625" style="31" customWidth="1"/>
    <col min="1031" max="1031" width="11.28515625" style="31" customWidth="1"/>
    <col min="1032" max="1032" width="37.85546875" style="31" customWidth="1"/>
    <col min="1033" max="1033" width="37.140625" style="31" bestFit="1" customWidth="1"/>
    <col min="1034" max="1034" width="0" style="31" hidden="1" customWidth="1"/>
    <col min="1035" max="1035" width="37.140625" style="31" customWidth="1"/>
    <col min="1036" max="1036" width="0" style="31" hidden="1" customWidth="1"/>
    <col min="1037" max="1280" width="9.140625" style="31"/>
    <col min="1281" max="1281" width="8.5703125" style="31" customWidth="1"/>
    <col min="1282" max="1282" width="5.140625" style="31" customWidth="1"/>
    <col min="1283" max="1283" width="31.28515625" style="31" customWidth="1"/>
    <col min="1284" max="1284" width="10.42578125" style="31" customWidth="1"/>
    <col min="1285" max="1285" width="17" style="31" customWidth="1"/>
    <col min="1286" max="1286" width="21.28515625" style="31" customWidth="1"/>
    <col min="1287" max="1287" width="11.28515625" style="31" customWidth="1"/>
    <col min="1288" max="1288" width="37.85546875" style="31" customWidth="1"/>
    <col min="1289" max="1289" width="37.140625" style="31" bestFit="1" customWidth="1"/>
    <col min="1290" max="1290" width="0" style="31" hidden="1" customWidth="1"/>
    <col min="1291" max="1291" width="37.140625" style="31" customWidth="1"/>
    <col min="1292" max="1292" width="0" style="31" hidden="1" customWidth="1"/>
    <col min="1293" max="1536" width="9.140625" style="31"/>
    <col min="1537" max="1537" width="8.5703125" style="31" customWidth="1"/>
    <col min="1538" max="1538" width="5.140625" style="31" customWidth="1"/>
    <col min="1539" max="1539" width="31.28515625" style="31" customWidth="1"/>
    <col min="1540" max="1540" width="10.42578125" style="31" customWidth="1"/>
    <col min="1541" max="1541" width="17" style="31" customWidth="1"/>
    <col min="1542" max="1542" width="21.28515625" style="31" customWidth="1"/>
    <col min="1543" max="1543" width="11.28515625" style="31" customWidth="1"/>
    <col min="1544" max="1544" width="37.85546875" style="31" customWidth="1"/>
    <col min="1545" max="1545" width="37.140625" style="31" bestFit="1" customWidth="1"/>
    <col min="1546" max="1546" width="0" style="31" hidden="1" customWidth="1"/>
    <col min="1547" max="1547" width="37.140625" style="31" customWidth="1"/>
    <col min="1548" max="1548" width="0" style="31" hidden="1" customWidth="1"/>
    <col min="1549" max="1792" width="9.140625" style="31"/>
    <col min="1793" max="1793" width="8.5703125" style="31" customWidth="1"/>
    <col min="1794" max="1794" width="5.140625" style="31" customWidth="1"/>
    <col min="1795" max="1795" width="31.28515625" style="31" customWidth="1"/>
    <col min="1796" max="1796" width="10.42578125" style="31" customWidth="1"/>
    <col min="1797" max="1797" width="17" style="31" customWidth="1"/>
    <col min="1798" max="1798" width="21.28515625" style="31" customWidth="1"/>
    <col min="1799" max="1799" width="11.28515625" style="31" customWidth="1"/>
    <col min="1800" max="1800" width="37.85546875" style="31" customWidth="1"/>
    <col min="1801" max="1801" width="37.140625" style="31" bestFit="1" customWidth="1"/>
    <col min="1802" max="1802" width="0" style="31" hidden="1" customWidth="1"/>
    <col min="1803" max="1803" width="37.140625" style="31" customWidth="1"/>
    <col min="1804" max="1804" width="0" style="31" hidden="1" customWidth="1"/>
    <col min="1805" max="2048" width="9.140625" style="31"/>
    <col min="2049" max="2049" width="8.5703125" style="31" customWidth="1"/>
    <col min="2050" max="2050" width="5.140625" style="31" customWidth="1"/>
    <col min="2051" max="2051" width="31.28515625" style="31" customWidth="1"/>
    <col min="2052" max="2052" width="10.42578125" style="31" customWidth="1"/>
    <col min="2053" max="2053" width="17" style="31" customWidth="1"/>
    <col min="2054" max="2054" width="21.28515625" style="31" customWidth="1"/>
    <col min="2055" max="2055" width="11.28515625" style="31" customWidth="1"/>
    <col min="2056" max="2056" width="37.85546875" style="31" customWidth="1"/>
    <col min="2057" max="2057" width="37.140625" style="31" bestFit="1" customWidth="1"/>
    <col min="2058" max="2058" width="0" style="31" hidden="1" customWidth="1"/>
    <col min="2059" max="2059" width="37.140625" style="31" customWidth="1"/>
    <col min="2060" max="2060" width="0" style="31" hidden="1" customWidth="1"/>
    <col min="2061" max="2304" width="9.140625" style="31"/>
    <col min="2305" max="2305" width="8.5703125" style="31" customWidth="1"/>
    <col min="2306" max="2306" width="5.140625" style="31" customWidth="1"/>
    <col min="2307" max="2307" width="31.28515625" style="31" customWidth="1"/>
    <col min="2308" max="2308" width="10.42578125" style="31" customWidth="1"/>
    <col min="2309" max="2309" width="17" style="31" customWidth="1"/>
    <col min="2310" max="2310" width="21.28515625" style="31" customWidth="1"/>
    <col min="2311" max="2311" width="11.28515625" style="31" customWidth="1"/>
    <col min="2312" max="2312" width="37.85546875" style="31" customWidth="1"/>
    <col min="2313" max="2313" width="37.140625" style="31" bestFit="1" customWidth="1"/>
    <col min="2314" max="2314" width="0" style="31" hidden="1" customWidth="1"/>
    <col min="2315" max="2315" width="37.140625" style="31" customWidth="1"/>
    <col min="2316" max="2316" width="0" style="31" hidden="1" customWidth="1"/>
    <col min="2317" max="2560" width="9.140625" style="31"/>
    <col min="2561" max="2561" width="8.5703125" style="31" customWidth="1"/>
    <col min="2562" max="2562" width="5.140625" style="31" customWidth="1"/>
    <col min="2563" max="2563" width="31.28515625" style="31" customWidth="1"/>
    <col min="2564" max="2564" width="10.42578125" style="31" customWidth="1"/>
    <col min="2565" max="2565" width="17" style="31" customWidth="1"/>
    <col min="2566" max="2566" width="21.28515625" style="31" customWidth="1"/>
    <col min="2567" max="2567" width="11.28515625" style="31" customWidth="1"/>
    <col min="2568" max="2568" width="37.85546875" style="31" customWidth="1"/>
    <col min="2569" max="2569" width="37.140625" style="31" bestFit="1" customWidth="1"/>
    <col min="2570" max="2570" width="0" style="31" hidden="1" customWidth="1"/>
    <col min="2571" max="2571" width="37.140625" style="31" customWidth="1"/>
    <col min="2572" max="2572" width="0" style="31" hidden="1" customWidth="1"/>
    <col min="2573" max="2816" width="9.140625" style="31"/>
    <col min="2817" max="2817" width="8.5703125" style="31" customWidth="1"/>
    <col min="2818" max="2818" width="5.140625" style="31" customWidth="1"/>
    <col min="2819" max="2819" width="31.28515625" style="31" customWidth="1"/>
    <col min="2820" max="2820" width="10.42578125" style="31" customWidth="1"/>
    <col min="2821" max="2821" width="17" style="31" customWidth="1"/>
    <col min="2822" max="2822" width="21.28515625" style="31" customWidth="1"/>
    <col min="2823" max="2823" width="11.28515625" style="31" customWidth="1"/>
    <col min="2824" max="2824" width="37.85546875" style="31" customWidth="1"/>
    <col min="2825" max="2825" width="37.140625" style="31" bestFit="1" customWidth="1"/>
    <col min="2826" max="2826" width="0" style="31" hidden="1" customWidth="1"/>
    <col min="2827" max="2827" width="37.140625" style="31" customWidth="1"/>
    <col min="2828" max="2828" width="0" style="31" hidden="1" customWidth="1"/>
    <col min="2829" max="3072" width="9.140625" style="31"/>
    <col min="3073" max="3073" width="8.5703125" style="31" customWidth="1"/>
    <col min="3074" max="3074" width="5.140625" style="31" customWidth="1"/>
    <col min="3075" max="3075" width="31.28515625" style="31" customWidth="1"/>
    <col min="3076" max="3076" width="10.42578125" style="31" customWidth="1"/>
    <col min="3077" max="3077" width="17" style="31" customWidth="1"/>
    <col min="3078" max="3078" width="21.28515625" style="31" customWidth="1"/>
    <col min="3079" max="3079" width="11.28515625" style="31" customWidth="1"/>
    <col min="3080" max="3080" width="37.85546875" style="31" customWidth="1"/>
    <col min="3081" max="3081" width="37.140625" style="31" bestFit="1" customWidth="1"/>
    <col min="3082" max="3082" width="0" style="31" hidden="1" customWidth="1"/>
    <col min="3083" max="3083" width="37.140625" style="31" customWidth="1"/>
    <col min="3084" max="3084" width="0" style="31" hidden="1" customWidth="1"/>
    <col min="3085" max="3328" width="9.140625" style="31"/>
    <col min="3329" max="3329" width="8.5703125" style="31" customWidth="1"/>
    <col min="3330" max="3330" width="5.140625" style="31" customWidth="1"/>
    <col min="3331" max="3331" width="31.28515625" style="31" customWidth="1"/>
    <col min="3332" max="3332" width="10.42578125" style="31" customWidth="1"/>
    <col min="3333" max="3333" width="17" style="31" customWidth="1"/>
    <col min="3334" max="3334" width="21.28515625" style="31" customWidth="1"/>
    <col min="3335" max="3335" width="11.28515625" style="31" customWidth="1"/>
    <col min="3336" max="3336" width="37.85546875" style="31" customWidth="1"/>
    <col min="3337" max="3337" width="37.140625" style="31" bestFit="1" customWidth="1"/>
    <col min="3338" max="3338" width="0" style="31" hidden="1" customWidth="1"/>
    <col min="3339" max="3339" width="37.140625" style="31" customWidth="1"/>
    <col min="3340" max="3340" width="0" style="31" hidden="1" customWidth="1"/>
    <col min="3341" max="3584" width="9.140625" style="31"/>
    <col min="3585" max="3585" width="8.5703125" style="31" customWidth="1"/>
    <col min="3586" max="3586" width="5.140625" style="31" customWidth="1"/>
    <col min="3587" max="3587" width="31.28515625" style="31" customWidth="1"/>
    <col min="3588" max="3588" width="10.42578125" style="31" customWidth="1"/>
    <col min="3589" max="3589" width="17" style="31" customWidth="1"/>
    <col min="3590" max="3590" width="21.28515625" style="31" customWidth="1"/>
    <col min="3591" max="3591" width="11.28515625" style="31" customWidth="1"/>
    <col min="3592" max="3592" width="37.85546875" style="31" customWidth="1"/>
    <col min="3593" max="3593" width="37.140625" style="31" bestFit="1" customWidth="1"/>
    <col min="3594" max="3594" width="0" style="31" hidden="1" customWidth="1"/>
    <col min="3595" max="3595" width="37.140625" style="31" customWidth="1"/>
    <col min="3596" max="3596" width="0" style="31" hidden="1" customWidth="1"/>
    <col min="3597" max="3840" width="9.140625" style="31"/>
    <col min="3841" max="3841" width="8.5703125" style="31" customWidth="1"/>
    <col min="3842" max="3842" width="5.140625" style="31" customWidth="1"/>
    <col min="3843" max="3843" width="31.28515625" style="31" customWidth="1"/>
    <col min="3844" max="3844" width="10.42578125" style="31" customWidth="1"/>
    <col min="3845" max="3845" width="17" style="31" customWidth="1"/>
    <col min="3846" max="3846" width="21.28515625" style="31" customWidth="1"/>
    <col min="3847" max="3847" width="11.28515625" style="31" customWidth="1"/>
    <col min="3848" max="3848" width="37.85546875" style="31" customWidth="1"/>
    <col min="3849" max="3849" width="37.140625" style="31" bestFit="1" customWidth="1"/>
    <col min="3850" max="3850" width="0" style="31" hidden="1" customWidth="1"/>
    <col min="3851" max="3851" width="37.140625" style="31" customWidth="1"/>
    <col min="3852" max="3852" width="0" style="31" hidden="1" customWidth="1"/>
    <col min="3853" max="4096" width="9.140625" style="31"/>
    <col min="4097" max="4097" width="8.5703125" style="31" customWidth="1"/>
    <col min="4098" max="4098" width="5.140625" style="31" customWidth="1"/>
    <col min="4099" max="4099" width="31.28515625" style="31" customWidth="1"/>
    <col min="4100" max="4100" width="10.42578125" style="31" customWidth="1"/>
    <col min="4101" max="4101" width="17" style="31" customWidth="1"/>
    <col min="4102" max="4102" width="21.28515625" style="31" customWidth="1"/>
    <col min="4103" max="4103" width="11.28515625" style="31" customWidth="1"/>
    <col min="4104" max="4104" width="37.85546875" style="31" customWidth="1"/>
    <col min="4105" max="4105" width="37.140625" style="31" bestFit="1" customWidth="1"/>
    <col min="4106" max="4106" width="0" style="31" hidden="1" customWidth="1"/>
    <col min="4107" max="4107" width="37.140625" style="31" customWidth="1"/>
    <col min="4108" max="4108" width="0" style="31" hidden="1" customWidth="1"/>
    <col min="4109" max="4352" width="9.140625" style="31"/>
    <col min="4353" max="4353" width="8.5703125" style="31" customWidth="1"/>
    <col min="4354" max="4354" width="5.140625" style="31" customWidth="1"/>
    <col min="4355" max="4355" width="31.28515625" style="31" customWidth="1"/>
    <col min="4356" max="4356" width="10.42578125" style="31" customWidth="1"/>
    <col min="4357" max="4357" width="17" style="31" customWidth="1"/>
    <col min="4358" max="4358" width="21.28515625" style="31" customWidth="1"/>
    <col min="4359" max="4359" width="11.28515625" style="31" customWidth="1"/>
    <col min="4360" max="4360" width="37.85546875" style="31" customWidth="1"/>
    <col min="4361" max="4361" width="37.140625" style="31" bestFit="1" customWidth="1"/>
    <col min="4362" max="4362" width="0" style="31" hidden="1" customWidth="1"/>
    <col min="4363" max="4363" width="37.140625" style="31" customWidth="1"/>
    <col min="4364" max="4364" width="0" style="31" hidden="1" customWidth="1"/>
    <col min="4365" max="4608" width="9.140625" style="31"/>
    <col min="4609" max="4609" width="8.5703125" style="31" customWidth="1"/>
    <col min="4610" max="4610" width="5.140625" style="31" customWidth="1"/>
    <col min="4611" max="4611" width="31.28515625" style="31" customWidth="1"/>
    <col min="4612" max="4612" width="10.42578125" style="31" customWidth="1"/>
    <col min="4613" max="4613" width="17" style="31" customWidth="1"/>
    <col min="4614" max="4614" width="21.28515625" style="31" customWidth="1"/>
    <col min="4615" max="4615" width="11.28515625" style="31" customWidth="1"/>
    <col min="4616" max="4616" width="37.85546875" style="31" customWidth="1"/>
    <col min="4617" max="4617" width="37.140625" style="31" bestFit="1" customWidth="1"/>
    <col min="4618" max="4618" width="0" style="31" hidden="1" customWidth="1"/>
    <col min="4619" max="4619" width="37.140625" style="31" customWidth="1"/>
    <col min="4620" max="4620" width="0" style="31" hidden="1" customWidth="1"/>
    <col min="4621" max="4864" width="9.140625" style="31"/>
    <col min="4865" max="4865" width="8.5703125" style="31" customWidth="1"/>
    <col min="4866" max="4866" width="5.140625" style="31" customWidth="1"/>
    <col min="4867" max="4867" width="31.28515625" style="31" customWidth="1"/>
    <col min="4868" max="4868" width="10.42578125" style="31" customWidth="1"/>
    <col min="4869" max="4869" width="17" style="31" customWidth="1"/>
    <col min="4870" max="4870" width="21.28515625" style="31" customWidth="1"/>
    <col min="4871" max="4871" width="11.28515625" style="31" customWidth="1"/>
    <col min="4872" max="4872" width="37.85546875" style="31" customWidth="1"/>
    <col min="4873" max="4873" width="37.140625" style="31" bestFit="1" customWidth="1"/>
    <col min="4874" max="4874" width="0" style="31" hidden="1" customWidth="1"/>
    <col min="4875" max="4875" width="37.140625" style="31" customWidth="1"/>
    <col min="4876" max="4876" width="0" style="31" hidden="1" customWidth="1"/>
    <col min="4877" max="5120" width="9.140625" style="31"/>
    <col min="5121" max="5121" width="8.5703125" style="31" customWidth="1"/>
    <col min="5122" max="5122" width="5.140625" style="31" customWidth="1"/>
    <col min="5123" max="5123" width="31.28515625" style="31" customWidth="1"/>
    <col min="5124" max="5124" width="10.42578125" style="31" customWidth="1"/>
    <col min="5125" max="5125" width="17" style="31" customWidth="1"/>
    <col min="5126" max="5126" width="21.28515625" style="31" customWidth="1"/>
    <col min="5127" max="5127" width="11.28515625" style="31" customWidth="1"/>
    <col min="5128" max="5128" width="37.85546875" style="31" customWidth="1"/>
    <col min="5129" max="5129" width="37.140625" style="31" bestFit="1" customWidth="1"/>
    <col min="5130" max="5130" width="0" style="31" hidden="1" customWidth="1"/>
    <col min="5131" max="5131" width="37.140625" style="31" customWidth="1"/>
    <col min="5132" max="5132" width="0" style="31" hidden="1" customWidth="1"/>
    <col min="5133" max="5376" width="9.140625" style="31"/>
    <col min="5377" max="5377" width="8.5703125" style="31" customWidth="1"/>
    <col min="5378" max="5378" width="5.140625" style="31" customWidth="1"/>
    <col min="5379" max="5379" width="31.28515625" style="31" customWidth="1"/>
    <col min="5380" max="5380" width="10.42578125" style="31" customWidth="1"/>
    <col min="5381" max="5381" width="17" style="31" customWidth="1"/>
    <col min="5382" max="5382" width="21.28515625" style="31" customWidth="1"/>
    <col min="5383" max="5383" width="11.28515625" style="31" customWidth="1"/>
    <col min="5384" max="5384" width="37.85546875" style="31" customWidth="1"/>
    <col min="5385" max="5385" width="37.140625" style="31" bestFit="1" customWidth="1"/>
    <col min="5386" max="5386" width="0" style="31" hidden="1" customWidth="1"/>
    <col min="5387" max="5387" width="37.140625" style="31" customWidth="1"/>
    <col min="5388" max="5388" width="0" style="31" hidden="1" customWidth="1"/>
    <col min="5389" max="5632" width="9.140625" style="31"/>
    <col min="5633" max="5633" width="8.5703125" style="31" customWidth="1"/>
    <col min="5634" max="5634" width="5.140625" style="31" customWidth="1"/>
    <col min="5635" max="5635" width="31.28515625" style="31" customWidth="1"/>
    <col min="5636" max="5636" width="10.42578125" style="31" customWidth="1"/>
    <col min="5637" max="5637" width="17" style="31" customWidth="1"/>
    <col min="5638" max="5638" width="21.28515625" style="31" customWidth="1"/>
    <col min="5639" max="5639" width="11.28515625" style="31" customWidth="1"/>
    <col min="5640" max="5640" width="37.85546875" style="31" customWidth="1"/>
    <col min="5641" max="5641" width="37.140625" style="31" bestFit="1" customWidth="1"/>
    <col min="5642" max="5642" width="0" style="31" hidden="1" customWidth="1"/>
    <col min="5643" max="5643" width="37.140625" style="31" customWidth="1"/>
    <col min="5644" max="5644" width="0" style="31" hidden="1" customWidth="1"/>
    <col min="5645" max="5888" width="9.140625" style="31"/>
    <col min="5889" max="5889" width="8.5703125" style="31" customWidth="1"/>
    <col min="5890" max="5890" width="5.140625" style="31" customWidth="1"/>
    <col min="5891" max="5891" width="31.28515625" style="31" customWidth="1"/>
    <col min="5892" max="5892" width="10.42578125" style="31" customWidth="1"/>
    <col min="5893" max="5893" width="17" style="31" customWidth="1"/>
    <col min="5894" max="5894" width="21.28515625" style="31" customWidth="1"/>
    <col min="5895" max="5895" width="11.28515625" style="31" customWidth="1"/>
    <col min="5896" max="5896" width="37.85546875" style="31" customWidth="1"/>
    <col min="5897" max="5897" width="37.140625" style="31" bestFit="1" customWidth="1"/>
    <col min="5898" max="5898" width="0" style="31" hidden="1" customWidth="1"/>
    <col min="5899" max="5899" width="37.140625" style="31" customWidth="1"/>
    <col min="5900" max="5900" width="0" style="31" hidden="1" customWidth="1"/>
    <col min="5901" max="6144" width="9.140625" style="31"/>
    <col min="6145" max="6145" width="8.5703125" style="31" customWidth="1"/>
    <col min="6146" max="6146" width="5.140625" style="31" customWidth="1"/>
    <col min="6147" max="6147" width="31.28515625" style="31" customWidth="1"/>
    <col min="6148" max="6148" width="10.42578125" style="31" customWidth="1"/>
    <col min="6149" max="6149" width="17" style="31" customWidth="1"/>
    <col min="6150" max="6150" width="21.28515625" style="31" customWidth="1"/>
    <col min="6151" max="6151" width="11.28515625" style="31" customWidth="1"/>
    <col min="6152" max="6152" width="37.85546875" style="31" customWidth="1"/>
    <col min="6153" max="6153" width="37.140625" style="31" bestFit="1" customWidth="1"/>
    <col min="6154" max="6154" width="0" style="31" hidden="1" customWidth="1"/>
    <col min="6155" max="6155" width="37.140625" style="31" customWidth="1"/>
    <col min="6156" max="6156" width="0" style="31" hidden="1" customWidth="1"/>
    <col min="6157" max="6400" width="9.140625" style="31"/>
    <col min="6401" max="6401" width="8.5703125" style="31" customWidth="1"/>
    <col min="6402" max="6402" width="5.140625" style="31" customWidth="1"/>
    <col min="6403" max="6403" width="31.28515625" style="31" customWidth="1"/>
    <col min="6404" max="6404" width="10.42578125" style="31" customWidth="1"/>
    <col min="6405" max="6405" width="17" style="31" customWidth="1"/>
    <col min="6406" max="6406" width="21.28515625" style="31" customWidth="1"/>
    <col min="6407" max="6407" width="11.28515625" style="31" customWidth="1"/>
    <col min="6408" max="6408" width="37.85546875" style="31" customWidth="1"/>
    <col min="6409" max="6409" width="37.140625" style="31" bestFit="1" customWidth="1"/>
    <col min="6410" max="6410" width="0" style="31" hidden="1" customWidth="1"/>
    <col min="6411" max="6411" width="37.140625" style="31" customWidth="1"/>
    <col min="6412" max="6412" width="0" style="31" hidden="1" customWidth="1"/>
    <col min="6413" max="6656" width="9.140625" style="31"/>
    <col min="6657" max="6657" width="8.5703125" style="31" customWidth="1"/>
    <col min="6658" max="6658" width="5.140625" style="31" customWidth="1"/>
    <col min="6659" max="6659" width="31.28515625" style="31" customWidth="1"/>
    <col min="6660" max="6660" width="10.42578125" style="31" customWidth="1"/>
    <col min="6661" max="6661" width="17" style="31" customWidth="1"/>
    <col min="6662" max="6662" width="21.28515625" style="31" customWidth="1"/>
    <col min="6663" max="6663" width="11.28515625" style="31" customWidth="1"/>
    <col min="6664" max="6664" width="37.85546875" style="31" customWidth="1"/>
    <col min="6665" max="6665" width="37.140625" style="31" bestFit="1" customWidth="1"/>
    <col min="6666" max="6666" width="0" style="31" hidden="1" customWidth="1"/>
    <col min="6667" max="6667" width="37.140625" style="31" customWidth="1"/>
    <col min="6668" max="6668" width="0" style="31" hidden="1" customWidth="1"/>
    <col min="6669" max="6912" width="9.140625" style="31"/>
    <col min="6913" max="6913" width="8.5703125" style="31" customWidth="1"/>
    <col min="6914" max="6914" width="5.140625" style="31" customWidth="1"/>
    <col min="6915" max="6915" width="31.28515625" style="31" customWidth="1"/>
    <col min="6916" max="6916" width="10.42578125" style="31" customWidth="1"/>
    <col min="6917" max="6917" width="17" style="31" customWidth="1"/>
    <col min="6918" max="6918" width="21.28515625" style="31" customWidth="1"/>
    <col min="6919" max="6919" width="11.28515625" style="31" customWidth="1"/>
    <col min="6920" max="6920" width="37.85546875" style="31" customWidth="1"/>
    <col min="6921" max="6921" width="37.140625" style="31" bestFit="1" customWidth="1"/>
    <col min="6922" max="6922" width="0" style="31" hidden="1" customWidth="1"/>
    <col min="6923" max="6923" width="37.140625" style="31" customWidth="1"/>
    <col min="6924" max="6924" width="0" style="31" hidden="1" customWidth="1"/>
    <col min="6925" max="7168" width="9.140625" style="31"/>
    <col min="7169" max="7169" width="8.5703125" style="31" customWidth="1"/>
    <col min="7170" max="7170" width="5.140625" style="31" customWidth="1"/>
    <col min="7171" max="7171" width="31.28515625" style="31" customWidth="1"/>
    <col min="7172" max="7172" width="10.42578125" style="31" customWidth="1"/>
    <col min="7173" max="7173" width="17" style="31" customWidth="1"/>
    <col min="7174" max="7174" width="21.28515625" style="31" customWidth="1"/>
    <col min="7175" max="7175" width="11.28515625" style="31" customWidth="1"/>
    <col min="7176" max="7176" width="37.85546875" style="31" customWidth="1"/>
    <col min="7177" max="7177" width="37.140625" style="31" bestFit="1" customWidth="1"/>
    <col min="7178" max="7178" width="0" style="31" hidden="1" customWidth="1"/>
    <col min="7179" max="7179" width="37.140625" style="31" customWidth="1"/>
    <col min="7180" max="7180" width="0" style="31" hidden="1" customWidth="1"/>
    <col min="7181" max="7424" width="9.140625" style="31"/>
    <col min="7425" max="7425" width="8.5703125" style="31" customWidth="1"/>
    <col min="7426" max="7426" width="5.140625" style="31" customWidth="1"/>
    <col min="7427" max="7427" width="31.28515625" style="31" customWidth="1"/>
    <col min="7428" max="7428" width="10.42578125" style="31" customWidth="1"/>
    <col min="7429" max="7429" width="17" style="31" customWidth="1"/>
    <col min="7430" max="7430" width="21.28515625" style="31" customWidth="1"/>
    <col min="7431" max="7431" width="11.28515625" style="31" customWidth="1"/>
    <col min="7432" max="7432" width="37.85546875" style="31" customWidth="1"/>
    <col min="7433" max="7433" width="37.140625" style="31" bestFit="1" customWidth="1"/>
    <col min="7434" max="7434" width="0" style="31" hidden="1" customWidth="1"/>
    <col min="7435" max="7435" width="37.140625" style="31" customWidth="1"/>
    <col min="7436" max="7436" width="0" style="31" hidden="1" customWidth="1"/>
    <col min="7437" max="7680" width="9.140625" style="31"/>
    <col min="7681" max="7681" width="8.5703125" style="31" customWidth="1"/>
    <col min="7682" max="7682" width="5.140625" style="31" customWidth="1"/>
    <col min="7683" max="7683" width="31.28515625" style="31" customWidth="1"/>
    <col min="7684" max="7684" width="10.42578125" style="31" customWidth="1"/>
    <col min="7685" max="7685" width="17" style="31" customWidth="1"/>
    <col min="7686" max="7686" width="21.28515625" style="31" customWidth="1"/>
    <col min="7687" max="7687" width="11.28515625" style="31" customWidth="1"/>
    <col min="7688" max="7688" width="37.85546875" style="31" customWidth="1"/>
    <col min="7689" max="7689" width="37.140625" style="31" bestFit="1" customWidth="1"/>
    <col min="7690" max="7690" width="0" style="31" hidden="1" customWidth="1"/>
    <col min="7691" max="7691" width="37.140625" style="31" customWidth="1"/>
    <col min="7692" max="7692" width="0" style="31" hidden="1" customWidth="1"/>
    <col min="7693" max="7936" width="9.140625" style="31"/>
    <col min="7937" max="7937" width="8.5703125" style="31" customWidth="1"/>
    <col min="7938" max="7938" width="5.140625" style="31" customWidth="1"/>
    <col min="7939" max="7939" width="31.28515625" style="31" customWidth="1"/>
    <col min="7940" max="7940" width="10.42578125" style="31" customWidth="1"/>
    <col min="7941" max="7941" width="17" style="31" customWidth="1"/>
    <col min="7942" max="7942" width="21.28515625" style="31" customWidth="1"/>
    <col min="7943" max="7943" width="11.28515625" style="31" customWidth="1"/>
    <col min="7944" max="7944" width="37.85546875" style="31" customWidth="1"/>
    <col min="7945" max="7945" width="37.140625" style="31" bestFit="1" customWidth="1"/>
    <col min="7946" max="7946" width="0" style="31" hidden="1" customWidth="1"/>
    <col min="7947" max="7947" width="37.140625" style="31" customWidth="1"/>
    <col min="7948" max="7948" width="0" style="31" hidden="1" customWidth="1"/>
    <col min="7949" max="8192" width="9.140625" style="31"/>
    <col min="8193" max="8193" width="8.5703125" style="31" customWidth="1"/>
    <col min="8194" max="8194" width="5.140625" style="31" customWidth="1"/>
    <col min="8195" max="8195" width="31.28515625" style="31" customWidth="1"/>
    <col min="8196" max="8196" width="10.42578125" style="31" customWidth="1"/>
    <col min="8197" max="8197" width="17" style="31" customWidth="1"/>
    <col min="8198" max="8198" width="21.28515625" style="31" customWidth="1"/>
    <col min="8199" max="8199" width="11.28515625" style="31" customWidth="1"/>
    <col min="8200" max="8200" width="37.85546875" style="31" customWidth="1"/>
    <col min="8201" max="8201" width="37.140625" style="31" bestFit="1" customWidth="1"/>
    <col min="8202" max="8202" width="0" style="31" hidden="1" customWidth="1"/>
    <col min="8203" max="8203" width="37.140625" style="31" customWidth="1"/>
    <col min="8204" max="8204" width="0" style="31" hidden="1" customWidth="1"/>
    <col min="8205" max="8448" width="9.140625" style="31"/>
    <col min="8449" max="8449" width="8.5703125" style="31" customWidth="1"/>
    <col min="8450" max="8450" width="5.140625" style="31" customWidth="1"/>
    <col min="8451" max="8451" width="31.28515625" style="31" customWidth="1"/>
    <col min="8452" max="8452" width="10.42578125" style="31" customWidth="1"/>
    <col min="8453" max="8453" width="17" style="31" customWidth="1"/>
    <col min="8454" max="8454" width="21.28515625" style="31" customWidth="1"/>
    <col min="8455" max="8455" width="11.28515625" style="31" customWidth="1"/>
    <col min="8456" max="8456" width="37.85546875" style="31" customWidth="1"/>
    <col min="8457" max="8457" width="37.140625" style="31" bestFit="1" customWidth="1"/>
    <col min="8458" max="8458" width="0" style="31" hidden="1" customWidth="1"/>
    <col min="8459" max="8459" width="37.140625" style="31" customWidth="1"/>
    <col min="8460" max="8460" width="0" style="31" hidden="1" customWidth="1"/>
    <col min="8461" max="8704" width="9.140625" style="31"/>
    <col min="8705" max="8705" width="8.5703125" style="31" customWidth="1"/>
    <col min="8706" max="8706" width="5.140625" style="31" customWidth="1"/>
    <col min="8707" max="8707" width="31.28515625" style="31" customWidth="1"/>
    <col min="8708" max="8708" width="10.42578125" style="31" customWidth="1"/>
    <col min="8709" max="8709" width="17" style="31" customWidth="1"/>
    <col min="8710" max="8710" width="21.28515625" style="31" customWidth="1"/>
    <col min="8711" max="8711" width="11.28515625" style="31" customWidth="1"/>
    <col min="8712" max="8712" width="37.85546875" style="31" customWidth="1"/>
    <col min="8713" max="8713" width="37.140625" style="31" bestFit="1" customWidth="1"/>
    <col min="8714" max="8714" width="0" style="31" hidden="1" customWidth="1"/>
    <col min="8715" max="8715" width="37.140625" style="31" customWidth="1"/>
    <col min="8716" max="8716" width="0" style="31" hidden="1" customWidth="1"/>
    <col min="8717" max="8960" width="9.140625" style="31"/>
    <col min="8961" max="8961" width="8.5703125" style="31" customWidth="1"/>
    <col min="8962" max="8962" width="5.140625" style="31" customWidth="1"/>
    <col min="8963" max="8963" width="31.28515625" style="31" customWidth="1"/>
    <col min="8964" max="8964" width="10.42578125" style="31" customWidth="1"/>
    <col min="8965" max="8965" width="17" style="31" customWidth="1"/>
    <col min="8966" max="8966" width="21.28515625" style="31" customWidth="1"/>
    <col min="8967" max="8967" width="11.28515625" style="31" customWidth="1"/>
    <col min="8968" max="8968" width="37.85546875" style="31" customWidth="1"/>
    <col min="8969" max="8969" width="37.140625" style="31" bestFit="1" customWidth="1"/>
    <col min="8970" max="8970" width="0" style="31" hidden="1" customWidth="1"/>
    <col min="8971" max="8971" width="37.140625" style="31" customWidth="1"/>
    <col min="8972" max="8972" width="0" style="31" hidden="1" customWidth="1"/>
    <col min="8973" max="9216" width="9.140625" style="31"/>
    <col min="9217" max="9217" width="8.5703125" style="31" customWidth="1"/>
    <col min="9218" max="9218" width="5.140625" style="31" customWidth="1"/>
    <col min="9219" max="9219" width="31.28515625" style="31" customWidth="1"/>
    <col min="9220" max="9220" width="10.42578125" style="31" customWidth="1"/>
    <col min="9221" max="9221" width="17" style="31" customWidth="1"/>
    <col min="9222" max="9222" width="21.28515625" style="31" customWidth="1"/>
    <col min="9223" max="9223" width="11.28515625" style="31" customWidth="1"/>
    <col min="9224" max="9224" width="37.85546875" style="31" customWidth="1"/>
    <col min="9225" max="9225" width="37.140625" style="31" bestFit="1" customWidth="1"/>
    <col min="9226" max="9226" width="0" style="31" hidden="1" customWidth="1"/>
    <col min="9227" max="9227" width="37.140625" style="31" customWidth="1"/>
    <col min="9228" max="9228" width="0" style="31" hidden="1" customWidth="1"/>
    <col min="9229" max="9472" width="9.140625" style="31"/>
    <col min="9473" max="9473" width="8.5703125" style="31" customWidth="1"/>
    <col min="9474" max="9474" width="5.140625" style="31" customWidth="1"/>
    <col min="9475" max="9475" width="31.28515625" style="31" customWidth="1"/>
    <col min="9476" max="9476" width="10.42578125" style="31" customWidth="1"/>
    <col min="9477" max="9477" width="17" style="31" customWidth="1"/>
    <col min="9478" max="9478" width="21.28515625" style="31" customWidth="1"/>
    <col min="9479" max="9479" width="11.28515625" style="31" customWidth="1"/>
    <col min="9480" max="9480" width="37.85546875" style="31" customWidth="1"/>
    <col min="9481" max="9481" width="37.140625" style="31" bestFit="1" customWidth="1"/>
    <col min="9482" max="9482" width="0" style="31" hidden="1" customWidth="1"/>
    <col min="9483" max="9483" width="37.140625" style="31" customWidth="1"/>
    <col min="9484" max="9484" width="0" style="31" hidden="1" customWidth="1"/>
    <col min="9485" max="9728" width="9.140625" style="31"/>
    <col min="9729" max="9729" width="8.5703125" style="31" customWidth="1"/>
    <col min="9730" max="9730" width="5.140625" style="31" customWidth="1"/>
    <col min="9731" max="9731" width="31.28515625" style="31" customWidth="1"/>
    <col min="9732" max="9732" width="10.42578125" style="31" customWidth="1"/>
    <col min="9733" max="9733" width="17" style="31" customWidth="1"/>
    <col min="9734" max="9734" width="21.28515625" style="31" customWidth="1"/>
    <col min="9735" max="9735" width="11.28515625" style="31" customWidth="1"/>
    <col min="9736" max="9736" width="37.85546875" style="31" customWidth="1"/>
    <col min="9737" max="9737" width="37.140625" style="31" bestFit="1" customWidth="1"/>
    <col min="9738" max="9738" width="0" style="31" hidden="1" customWidth="1"/>
    <col min="9739" max="9739" width="37.140625" style="31" customWidth="1"/>
    <col min="9740" max="9740" width="0" style="31" hidden="1" customWidth="1"/>
    <col min="9741" max="9984" width="9.140625" style="31"/>
    <col min="9985" max="9985" width="8.5703125" style="31" customWidth="1"/>
    <col min="9986" max="9986" width="5.140625" style="31" customWidth="1"/>
    <col min="9987" max="9987" width="31.28515625" style="31" customWidth="1"/>
    <col min="9988" max="9988" width="10.42578125" style="31" customWidth="1"/>
    <col min="9989" max="9989" width="17" style="31" customWidth="1"/>
    <col min="9990" max="9990" width="21.28515625" style="31" customWidth="1"/>
    <col min="9991" max="9991" width="11.28515625" style="31" customWidth="1"/>
    <col min="9992" max="9992" width="37.85546875" style="31" customWidth="1"/>
    <col min="9993" max="9993" width="37.140625" style="31" bestFit="1" customWidth="1"/>
    <col min="9994" max="9994" width="0" style="31" hidden="1" customWidth="1"/>
    <col min="9995" max="9995" width="37.140625" style="31" customWidth="1"/>
    <col min="9996" max="9996" width="0" style="31" hidden="1" customWidth="1"/>
    <col min="9997" max="10240" width="9.140625" style="31"/>
    <col min="10241" max="10241" width="8.5703125" style="31" customWidth="1"/>
    <col min="10242" max="10242" width="5.140625" style="31" customWidth="1"/>
    <col min="10243" max="10243" width="31.28515625" style="31" customWidth="1"/>
    <col min="10244" max="10244" width="10.42578125" style="31" customWidth="1"/>
    <col min="10245" max="10245" width="17" style="31" customWidth="1"/>
    <col min="10246" max="10246" width="21.28515625" style="31" customWidth="1"/>
    <col min="10247" max="10247" width="11.28515625" style="31" customWidth="1"/>
    <col min="10248" max="10248" width="37.85546875" style="31" customWidth="1"/>
    <col min="10249" max="10249" width="37.140625" style="31" bestFit="1" customWidth="1"/>
    <col min="10250" max="10250" width="0" style="31" hidden="1" customWidth="1"/>
    <col min="10251" max="10251" width="37.140625" style="31" customWidth="1"/>
    <col min="10252" max="10252" width="0" style="31" hidden="1" customWidth="1"/>
    <col min="10253" max="10496" width="9.140625" style="31"/>
    <col min="10497" max="10497" width="8.5703125" style="31" customWidth="1"/>
    <col min="10498" max="10498" width="5.140625" style="31" customWidth="1"/>
    <col min="10499" max="10499" width="31.28515625" style="31" customWidth="1"/>
    <col min="10500" max="10500" width="10.42578125" style="31" customWidth="1"/>
    <col min="10501" max="10501" width="17" style="31" customWidth="1"/>
    <col min="10502" max="10502" width="21.28515625" style="31" customWidth="1"/>
    <col min="10503" max="10503" width="11.28515625" style="31" customWidth="1"/>
    <col min="10504" max="10504" width="37.85546875" style="31" customWidth="1"/>
    <col min="10505" max="10505" width="37.140625" style="31" bestFit="1" customWidth="1"/>
    <col min="10506" max="10506" width="0" style="31" hidden="1" customWidth="1"/>
    <col min="10507" max="10507" width="37.140625" style="31" customWidth="1"/>
    <col min="10508" max="10508" width="0" style="31" hidden="1" customWidth="1"/>
    <col min="10509" max="10752" width="9.140625" style="31"/>
    <col min="10753" max="10753" width="8.5703125" style="31" customWidth="1"/>
    <col min="10754" max="10754" width="5.140625" style="31" customWidth="1"/>
    <col min="10755" max="10755" width="31.28515625" style="31" customWidth="1"/>
    <col min="10756" max="10756" width="10.42578125" style="31" customWidth="1"/>
    <col min="10757" max="10757" width="17" style="31" customWidth="1"/>
    <col min="10758" max="10758" width="21.28515625" style="31" customWidth="1"/>
    <col min="10759" max="10759" width="11.28515625" style="31" customWidth="1"/>
    <col min="10760" max="10760" width="37.85546875" style="31" customWidth="1"/>
    <col min="10761" max="10761" width="37.140625" style="31" bestFit="1" customWidth="1"/>
    <col min="10762" max="10762" width="0" style="31" hidden="1" customWidth="1"/>
    <col min="10763" max="10763" width="37.140625" style="31" customWidth="1"/>
    <col min="10764" max="10764" width="0" style="31" hidden="1" customWidth="1"/>
    <col min="10765" max="11008" width="9.140625" style="31"/>
    <col min="11009" max="11009" width="8.5703125" style="31" customWidth="1"/>
    <col min="11010" max="11010" width="5.140625" style="31" customWidth="1"/>
    <col min="11011" max="11011" width="31.28515625" style="31" customWidth="1"/>
    <col min="11012" max="11012" width="10.42578125" style="31" customWidth="1"/>
    <col min="11013" max="11013" width="17" style="31" customWidth="1"/>
    <col min="11014" max="11014" width="21.28515625" style="31" customWidth="1"/>
    <col min="11015" max="11015" width="11.28515625" style="31" customWidth="1"/>
    <col min="11016" max="11016" width="37.85546875" style="31" customWidth="1"/>
    <col min="11017" max="11017" width="37.140625" style="31" bestFit="1" customWidth="1"/>
    <col min="11018" max="11018" width="0" style="31" hidden="1" customWidth="1"/>
    <col min="11019" max="11019" width="37.140625" style="31" customWidth="1"/>
    <col min="11020" max="11020" width="0" style="31" hidden="1" customWidth="1"/>
    <col min="11021" max="11264" width="9.140625" style="31"/>
    <col min="11265" max="11265" width="8.5703125" style="31" customWidth="1"/>
    <col min="11266" max="11266" width="5.140625" style="31" customWidth="1"/>
    <col min="11267" max="11267" width="31.28515625" style="31" customWidth="1"/>
    <col min="11268" max="11268" width="10.42578125" style="31" customWidth="1"/>
    <col min="11269" max="11269" width="17" style="31" customWidth="1"/>
    <col min="11270" max="11270" width="21.28515625" style="31" customWidth="1"/>
    <col min="11271" max="11271" width="11.28515625" style="31" customWidth="1"/>
    <col min="11272" max="11272" width="37.85546875" style="31" customWidth="1"/>
    <col min="11273" max="11273" width="37.140625" style="31" bestFit="1" customWidth="1"/>
    <col min="11274" max="11274" width="0" style="31" hidden="1" customWidth="1"/>
    <col min="11275" max="11275" width="37.140625" style="31" customWidth="1"/>
    <col min="11276" max="11276" width="0" style="31" hidden="1" customWidth="1"/>
    <col min="11277" max="11520" width="9.140625" style="31"/>
    <col min="11521" max="11521" width="8.5703125" style="31" customWidth="1"/>
    <col min="11522" max="11522" width="5.140625" style="31" customWidth="1"/>
    <col min="11523" max="11523" width="31.28515625" style="31" customWidth="1"/>
    <col min="11524" max="11524" width="10.42578125" style="31" customWidth="1"/>
    <col min="11525" max="11525" width="17" style="31" customWidth="1"/>
    <col min="11526" max="11526" width="21.28515625" style="31" customWidth="1"/>
    <col min="11527" max="11527" width="11.28515625" style="31" customWidth="1"/>
    <col min="11528" max="11528" width="37.85546875" style="31" customWidth="1"/>
    <col min="11529" max="11529" width="37.140625" style="31" bestFit="1" customWidth="1"/>
    <col min="11530" max="11530" width="0" style="31" hidden="1" customWidth="1"/>
    <col min="11531" max="11531" width="37.140625" style="31" customWidth="1"/>
    <col min="11532" max="11532" width="0" style="31" hidden="1" customWidth="1"/>
    <col min="11533" max="11776" width="9.140625" style="31"/>
    <col min="11777" max="11777" width="8.5703125" style="31" customWidth="1"/>
    <col min="11778" max="11778" width="5.140625" style="31" customWidth="1"/>
    <col min="11779" max="11779" width="31.28515625" style="31" customWidth="1"/>
    <col min="11780" max="11780" width="10.42578125" style="31" customWidth="1"/>
    <col min="11781" max="11781" width="17" style="31" customWidth="1"/>
    <col min="11782" max="11782" width="21.28515625" style="31" customWidth="1"/>
    <col min="11783" max="11783" width="11.28515625" style="31" customWidth="1"/>
    <col min="11784" max="11784" width="37.85546875" style="31" customWidth="1"/>
    <col min="11785" max="11785" width="37.140625" style="31" bestFit="1" customWidth="1"/>
    <col min="11786" max="11786" width="0" style="31" hidden="1" customWidth="1"/>
    <col min="11787" max="11787" width="37.140625" style="31" customWidth="1"/>
    <col min="11788" max="11788" width="0" style="31" hidden="1" customWidth="1"/>
    <col min="11789" max="12032" width="9.140625" style="31"/>
    <col min="12033" max="12033" width="8.5703125" style="31" customWidth="1"/>
    <col min="12034" max="12034" width="5.140625" style="31" customWidth="1"/>
    <col min="12035" max="12035" width="31.28515625" style="31" customWidth="1"/>
    <col min="12036" max="12036" width="10.42578125" style="31" customWidth="1"/>
    <col min="12037" max="12037" width="17" style="31" customWidth="1"/>
    <col min="12038" max="12038" width="21.28515625" style="31" customWidth="1"/>
    <col min="12039" max="12039" width="11.28515625" style="31" customWidth="1"/>
    <col min="12040" max="12040" width="37.85546875" style="31" customWidth="1"/>
    <col min="12041" max="12041" width="37.140625" style="31" bestFit="1" customWidth="1"/>
    <col min="12042" max="12042" width="0" style="31" hidden="1" customWidth="1"/>
    <col min="12043" max="12043" width="37.140625" style="31" customWidth="1"/>
    <col min="12044" max="12044" width="0" style="31" hidden="1" customWidth="1"/>
    <col min="12045" max="12288" width="9.140625" style="31"/>
    <col min="12289" max="12289" width="8.5703125" style="31" customWidth="1"/>
    <col min="12290" max="12290" width="5.140625" style="31" customWidth="1"/>
    <col min="12291" max="12291" width="31.28515625" style="31" customWidth="1"/>
    <col min="12292" max="12292" width="10.42578125" style="31" customWidth="1"/>
    <col min="12293" max="12293" width="17" style="31" customWidth="1"/>
    <col min="12294" max="12294" width="21.28515625" style="31" customWidth="1"/>
    <col min="12295" max="12295" width="11.28515625" style="31" customWidth="1"/>
    <col min="12296" max="12296" width="37.85546875" style="31" customWidth="1"/>
    <col min="12297" max="12297" width="37.140625" style="31" bestFit="1" customWidth="1"/>
    <col min="12298" max="12298" width="0" style="31" hidden="1" customWidth="1"/>
    <col min="12299" max="12299" width="37.140625" style="31" customWidth="1"/>
    <col min="12300" max="12300" width="0" style="31" hidden="1" customWidth="1"/>
    <col min="12301" max="12544" width="9.140625" style="31"/>
    <col min="12545" max="12545" width="8.5703125" style="31" customWidth="1"/>
    <col min="12546" max="12546" width="5.140625" style="31" customWidth="1"/>
    <col min="12547" max="12547" width="31.28515625" style="31" customWidth="1"/>
    <col min="12548" max="12548" width="10.42578125" style="31" customWidth="1"/>
    <col min="12549" max="12549" width="17" style="31" customWidth="1"/>
    <col min="12550" max="12550" width="21.28515625" style="31" customWidth="1"/>
    <col min="12551" max="12551" width="11.28515625" style="31" customWidth="1"/>
    <col min="12552" max="12552" width="37.85546875" style="31" customWidth="1"/>
    <col min="12553" max="12553" width="37.140625" style="31" bestFit="1" customWidth="1"/>
    <col min="12554" max="12554" width="0" style="31" hidden="1" customWidth="1"/>
    <col min="12555" max="12555" width="37.140625" style="31" customWidth="1"/>
    <col min="12556" max="12556" width="0" style="31" hidden="1" customWidth="1"/>
    <col min="12557" max="12800" width="9.140625" style="31"/>
    <col min="12801" max="12801" width="8.5703125" style="31" customWidth="1"/>
    <col min="12802" max="12802" width="5.140625" style="31" customWidth="1"/>
    <col min="12803" max="12803" width="31.28515625" style="31" customWidth="1"/>
    <col min="12804" max="12804" width="10.42578125" style="31" customWidth="1"/>
    <col min="12805" max="12805" width="17" style="31" customWidth="1"/>
    <col min="12806" max="12806" width="21.28515625" style="31" customWidth="1"/>
    <col min="12807" max="12807" width="11.28515625" style="31" customWidth="1"/>
    <col min="12808" max="12808" width="37.85546875" style="31" customWidth="1"/>
    <col min="12809" max="12809" width="37.140625" style="31" bestFit="1" customWidth="1"/>
    <col min="12810" max="12810" width="0" style="31" hidden="1" customWidth="1"/>
    <col min="12811" max="12811" width="37.140625" style="31" customWidth="1"/>
    <col min="12812" max="12812" width="0" style="31" hidden="1" customWidth="1"/>
    <col min="12813" max="13056" width="9.140625" style="31"/>
    <col min="13057" max="13057" width="8.5703125" style="31" customWidth="1"/>
    <col min="13058" max="13058" width="5.140625" style="31" customWidth="1"/>
    <col min="13059" max="13059" width="31.28515625" style="31" customWidth="1"/>
    <col min="13060" max="13060" width="10.42578125" style="31" customWidth="1"/>
    <col min="13061" max="13061" width="17" style="31" customWidth="1"/>
    <col min="13062" max="13062" width="21.28515625" style="31" customWidth="1"/>
    <col min="13063" max="13063" width="11.28515625" style="31" customWidth="1"/>
    <col min="13064" max="13064" width="37.85546875" style="31" customWidth="1"/>
    <col min="13065" max="13065" width="37.140625" style="31" bestFit="1" customWidth="1"/>
    <col min="13066" max="13066" width="0" style="31" hidden="1" customWidth="1"/>
    <col min="13067" max="13067" width="37.140625" style="31" customWidth="1"/>
    <col min="13068" max="13068" width="0" style="31" hidden="1" customWidth="1"/>
    <col min="13069" max="13312" width="9.140625" style="31"/>
    <col min="13313" max="13313" width="8.5703125" style="31" customWidth="1"/>
    <col min="13314" max="13314" width="5.140625" style="31" customWidth="1"/>
    <col min="13315" max="13315" width="31.28515625" style="31" customWidth="1"/>
    <col min="13316" max="13316" width="10.42578125" style="31" customWidth="1"/>
    <col min="13317" max="13317" width="17" style="31" customWidth="1"/>
    <col min="13318" max="13318" width="21.28515625" style="31" customWidth="1"/>
    <col min="13319" max="13319" width="11.28515625" style="31" customWidth="1"/>
    <col min="13320" max="13320" width="37.85546875" style="31" customWidth="1"/>
    <col min="13321" max="13321" width="37.140625" style="31" bestFit="1" customWidth="1"/>
    <col min="13322" max="13322" width="0" style="31" hidden="1" customWidth="1"/>
    <col min="13323" max="13323" width="37.140625" style="31" customWidth="1"/>
    <col min="13324" max="13324" width="0" style="31" hidden="1" customWidth="1"/>
    <col min="13325" max="13568" width="9.140625" style="31"/>
    <col min="13569" max="13569" width="8.5703125" style="31" customWidth="1"/>
    <col min="13570" max="13570" width="5.140625" style="31" customWidth="1"/>
    <col min="13571" max="13571" width="31.28515625" style="31" customWidth="1"/>
    <col min="13572" max="13572" width="10.42578125" style="31" customWidth="1"/>
    <col min="13573" max="13573" width="17" style="31" customWidth="1"/>
    <col min="13574" max="13574" width="21.28515625" style="31" customWidth="1"/>
    <col min="13575" max="13575" width="11.28515625" style="31" customWidth="1"/>
    <col min="13576" max="13576" width="37.85546875" style="31" customWidth="1"/>
    <col min="13577" max="13577" width="37.140625" style="31" bestFit="1" customWidth="1"/>
    <col min="13578" max="13578" width="0" style="31" hidden="1" customWidth="1"/>
    <col min="13579" max="13579" width="37.140625" style="31" customWidth="1"/>
    <col min="13580" max="13580" width="0" style="31" hidden="1" customWidth="1"/>
    <col min="13581" max="13824" width="9.140625" style="31"/>
    <col min="13825" max="13825" width="8.5703125" style="31" customWidth="1"/>
    <col min="13826" max="13826" width="5.140625" style="31" customWidth="1"/>
    <col min="13827" max="13827" width="31.28515625" style="31" customWidth="1"/>
    <col min="13828" max="13828" width="10.42578125" style="31" customWidth="1"/>
    <col min="13829" max="13829" width="17" style="31" customWidth="1"/>
    <col min="13830" max="13830" width="21.28515625" style="31" customWidth="1"/>
    <col min="13831" max="13831" width="11.28515625" style="31" customWidth="1"/>
    <col min="13832" max="13832" width="37.85546875" style="31" customWidth="1"/>
    <col min="13833" max="13833" width="37.140625" style="31" bestFit="1" customWidth="1"/>
    <col min="13834" max="13834" width="0" style="31" hidden="1" customWidth="1"/>
    <col min="13835" max="13835" width="37.140625" style="31" customWidth="1"/>
    <col min="13836" max="13836" width="0" style="31" hidden="1" customWidth="1"/>
    <col min="13837" max="14080" width="9.140625" style="31"/>
    <col min="14081" max="14081" width="8.5703125" style="31" customWidth="1"/>
    <col min="14082" max="14082" width="5.140625" style="31" customWidth="1"/>
    <col min="14083" max="14083" width="31.28515625" style="31" customWidth="1"/>
    <col min="14084" max="14084" width="10.42578125" style="31" customWidth="1"/>
    <col min="14085" max="14085" width="17" style="31" customWidth="1"/>
    <col min="14086" max="14086" width="21.28515625" style="31" customWidth="1"/>
    <col min="14087" max="14087" width="11.28515625" style="31" customWidth="1"/>
    <col min="14088" max="14088" width="37.85546875" style="31" customWidth="1"/>
    <col min="14089" max="14089" width="37.140625" style="31" bestFit="1" customWidth="1"/>
    <col min="14090" max="14090" width="0" style="31" hidden="1" customWidth="1"/>
    <col min="14091" max="14091" width="37.140625" style="31" customWidth="1"/>
    <col min="14092" max="14092" width="0" style="31" hidden="1" customWidth="1"/>
    <col min="14093" max="14336" width="9.140625" style="31"/>
    <col min="14337" max="14337" width="8.5703125" style="31" customWidth="1"/>
    <col min="14338" max="14338" width="5.140625" style="31" customWidth="1"/>
    <col min="14339" max="14339" width="31.28515625" style="31" customWidth="1"/>
    <col min="14340" max="14340" width="10.42578125" style="31" customWidth="1"/>
    <col min="14341" max="14341" width="17" style="31" customWidth="1"/>
    <col min="14342" max="14342" width="21.28515625" style="31" customWidth="1"/>
    <col min="14343" max="14343" width="11.28515625" style="31" customWidth="1"/>
    <col min="14344" max="14344" width="37.85546875" style="31" customWidth="1"/>
    <col min="14345" max="14345" width="37.140625" style="31" bestFit="1" customWidth="1"/>
    <col min="14346" max="14346" width="0" style="31" hidden="1" customWidth="1"/>
    <col min="14347" max="14347" width="37.140625" style="31" customWidth="1"/>
    <col min="14348" max="14348" width="0" style="31" hidden="1" customWidth="1"/>
    <col min="14349" max="14592" width="9.140625" style="31"/>
    <col min="14593" max="14593" width="8.5703125" style="31" customWidth="1"/>
    <col min="14594" max="14594" width="5.140625" style="31" customWidth="1"/>
    <col min="14595" max="14595" width="31.28515625" style="31" customWidth="1"/>
    <col min="14596" max="14596" width="10.42578125" style="31" customWidth="1"/>
    <col min="14597" max="14597" width="17" style="31" customWidth="1"/>
    <col min="14598" max="14598" width="21.28515625" style="31" customWidth="1"/>
    <col min="14599" max="14599" width="11.28515625" style="31" customWidth="1"/>
    <col min="14600" max="14600" width="37.85546875" style="31" customWidth="1"/>
    <col min="14601" max="14601" width="37.140625" style="31" bestFit="1" customWidth="1"/>
    <col min="14602" max="14602" width="0" style="31" hidden="1" customWidth="1"/>
    <col min="14603" max="14603" width="37.140625" style="31" customWidth="1"/>
    <col min="14604" max="14604" width="0" style="31" hidden="1" customWidth="1"/>
    <col min="14605" max="14848" width="9.140625" style="31"/>
    <col min="14849" max="14849" width="8.5703125" style="31" customWidth="1"/>
    <col min="14850" max="14850" width="5.140625" style="31" customWidth="1"/>
    <col min="14851" max="14851" width="31.28515625" style="31" customWidth="1"/>
    <col min="14852" max="14852" width="10.42578125" style="31" customWidth="1"/>
    <col min="14853" max="14853" width="17" style="31" customWidth="1"/>
    <col min="14854" max="14854" width="21.28515625" style="31" customWidth="1"/>
    <col min="14855" max="14855" width="11.28515625" style="31" customWidth="1"/>
    <col min="14856" max="14856" width="37.85546875" style="31" customWidth="1"/>
    <col min="14857" max="14857" width="37.140625" style="31" bestFit="1" customWidth="1"/>
    <col min="14858" max="14858" width="0" style="31" hidden="1" customWidth="1"/>
    <col min="14859" max="14859" width="37.140625" style="31" customWidth="1"/>
    <col min="14860" max="14860" width="0" style="31" hidden="1" customWidth="1"/>
    <col min="14861" max="15104" width="9.140625" style="31"/>
    <col min="15105" max="15105" width="8.5703125" style="31" customWidth="1"/>
    <col min="15106" max="15106" width="5.140625" style="31" customWidth="1"/>
    <col min="15107" max="15107" width="31.28515625" style="31" customWidth="1"/>
    <col min="15108" max="15108" width="10.42578125" style="31" customWidth="1"/>
    <col min="15109" max="15109" width="17" style="31" customWidth="1"/>
    <col min="15110" max="15110" width="21.28515625" style="31" customWidth="1"/>
    <col min="15111" max="15111" width="11.28515625" style="31" customWidth="1"/>
    <col min="15112" max="15112" width="37.85546875" style="31" customWidth="1"/>
    <col min="15113" max="15113" width="37.140625" style="31" bestFit="1" customWidth="1"/>
    <col min="15114" max="15114" width="0" style="31" hidden="1" customWidth="1"/>
    <col min="15115" max="15115" width="37.140625" style="31" customWidth="1"/>
    <col min="15116" max="15116" width="0" style="31" hidden="1" customWidth="1"/>
    <col min="15117" max="15360" width="9.140625" style="31"/>
    <col min="15361" max="15361" width="8.5703125" style="31" customWidth="1"/>
    <col min="15362" max="15362" width="5.140625" style="31" customWidth="1"/>
    <col min="15363" max="15363" width="31.28515625" style="31" customWidth="1"/>
    <col min="15364" max="15364" width="10.42578125" style="31" customWidth="1"/>
    <col min="15365" max="15365" width="17" style="31" customWidth="1"/>
    <col min="15366" max="15366" width="21.28515625" style="31" customWidth="1"/>
    <col min="15367" max="15367" width="11.28515625" style="31" customWidth="1"/>
    <col min="15368" max="15368" width="37.85546875" style="31" customWidth="1"/>
    <col min="15369" max="15369" width="37.140625" style="31" bestFit="1" customWidth="1"/>
    <col min="15370" max="15370" width="0" style="31" hidden="1" customWidth="1"/>
    <col min="15371" max="15371" width="37.140625" style="31" customWidth="1"/>
    <col min="15372" max="15372" width="0" style="31" hidden="1" customWidth="1"/>
    <col min="15373" max="15616" width="9.140625" style="31"/>
    <col min="15617" max="15617" width="8.5703125" style="31" customWidth="1"/>
    <col min="15618" max="15618" width="5.140625" style="31" customWidth="1"/>
    <col min="15619" max="15619" width="31.28515625" style="31" customWidth="1"/>
    <col min="15620" max="15620" width="10.42578125" style="31" customWidth="1"/>
    <col min="15621" max="15621" width="17" style="31" customWidth="1"/>
    <col min="15622" max="15622" width="21.28515625" style="31" customWidth="1"/>
    <col min="15623" max="15623" width="11.28515625" style="31" customWidth="1"/>
    <col min="15624" max="15624" width="37.85546875" style="31" customWidth="1"/>
    <col min="15625" max="15625" width="37.140625" style="31" bestFit="1" customWidth="1"/>
    <col min="15626" max="15626" width="0" style="31" hidden="1" customWidth="1"/>
    <col min="15627" max="15627" width="37.140625" style="31" customWidth="1"/>
    <col min="15628" max="15628" width="0" style="31" hidden="1" customWidth="1"/>
    <col min="15629" max="15872" width="9.140625" style="31"/>
    <col min="15873" max="15873" width="8.5703125" style="31" customWidth="1"/>
    <col min="15874" max="15874" width="5.140625" style="31" customWidth="1"/>
    <col min="15875" max="15875" width="31.28515625" style="31" customWidth="1"/>
    <col min="15876" max="15876" width="10.42578125" style="31" customWidth="1"/>
    <col min="15877" max="15877" width="17" style="31" customWidth="1"/>
    <col min="15878" max="15878" width="21.28515625" style="31" customWidth="1"/>
    <col min="15879" max="15879" width="11.28515625" style="31" customWidth="1"/>
    <col min="15880" max="15880" width="37.85546875" style="31" customWidth="1"/>
    <col min="15881" max="15881" width="37.140625" style="31" bestFit="1" customWidth="1"/>
    <col min="15882" max="15882" width="0" style="31" hidden="1" customWidth="1"/>
    <col min="15883" max="15883" width="37.140625" style="31" customWidth="1"/>
    <col min="15884" max="15884" width="0" style="31" hidden="1" customWidth="1"/>
    <col min="15885" max="16128" width="9.140625" style="31"/>
    <col min="16129" max="16129" width="8.5703125" style="31" customWidth="1"/>
    <col min="16130" max="16130" width="5.140625" style="31" customWidth="1"/>
    <col min="16131" max="16131" width="31.28515625" style="31" customWidth="1"/>
    <col min="16132" max="16132" width="10.42578125" style="31" customWidth="1"/>
    <col min="16133" max="16133" width="17" style="31" customWidth="1"/>
    <col min="16134" max="16134" width="21.28515625" style="31" customWidth="1"/>
    <col min="16135" max="16135" width="11.28515625" style="31" customWidth="1"/>
    <col min="16136" max="16136" width="37.85546875" style="31" customWidth="1"/>
    <col min="16137" max="16137" width="37.140625" style="31" bestFit="1" customWidth="1"/>
    <col min="16138" max="16138" width="0" style="31" hidden="1" customWidth="1"/>
    <col min="16139" max="16139" width="37.140625" style="31" customWidth="1"/>
    <col min="16140" max="16140" width="0" style="31" hidden="1" customWidth="1"/>
    <col min="16141" max="16384" width="9.140625" style="31"/>
  </cols>
  <sheetData>
    <row r="1" spans="1:14" ht="19.899999999999999" customHeight="1">
      <c r="A1" s="28"/>
      <c r="B1" s="29"/>
      <c r="C1" s="233" t="s">
        <v>103</v>
      </c>
      <c r="D1" s="233"/>
      <c r="E1" s="233"/>
      <c r="F1" s="233"/>
      <c r="G1" s="233"/>
      <c r="H1" s="242"/>
      <c r="I1" s="101" t="s">
        <v>104</v>
      </c>
      <c r="J1" s="30"/>
      <c r="K1" s="30"/>
      <c r="L1" s="30"/>
    </row>
    <row r="2" spans="1:14" ht="21.6" customHeight="1">
      <c r="A2" s="32"/>
      <c r="B2" s="33"/>
      <c r="C2" s="234"/>
      <c r="D2" s="234"/>
      <c r="E2" s="234"/>
      <c r="F2" s="234"/>
      <c r="G2" s="234"/>
      <c r="H2" s="243"/>
      <c r="I2" s="102" t="s">
        <v>105</v>
      </c>
      <c r="J2" s="34"/>
      <c r="K2" s="34"/>
      <c r="L2" s="34"/>
    </row>
    <row r="3" spans="1:14" s="35" customFormat="1">
      <c r="B3" s="36"/>
      <c r="C3" s="36"/>
      <c r="D3" s="36"/>
      <c r="E3" s="36"/>
      <c r="F3" s="36"/>
      <c r="G3" s="36"/>
      <c r="H3" s="38"/>
      <c r="I3" s="39" t="s">
        <v>106</v>
      </c>
      <c r="J3" s="39"/>
      <c r="K3" s="39"/>
      <c r="L3" s="39"/>
    </row>
    <row r="4" spans="1:14" ht="25.5" customHeight="1">
      <c r="A4" s="227" t="s">
        <v>107</v>
      </c>
      <c r="B4" s="240"/>
      <c r="C4" s="40" t="s">
        <v>108</v>
      </c>
      <c r="D4" s="229" t="s">
        <v>109</v>
      </c>
      <c r="E4" s="230"/>
      <c r="F4" s="51"/>
      <c r="G4" s="43" t="s">
        <v>110</v>
      </c>
      <c r="H4" s="44"/>
      <c r="I4" s="45"/>
      <c r="J4" s="34"/>
      <c r="K4" s="34"/>
      <c r="L4" s="34"/>
      <c r="M4" s="46"/>
    </row>
    <row r="5" spans="1:14" ht="28.5" customHeight="1">
      <c r="A5" s="227" t="s">
        <v>111</v>
      </c>
      <c r="B5" s="228"/>
      <c r="C5" s="228"/>
      <c r="D5" s="228"/>
      <c r="E5" s="47"/>
      <c r="F5" s="47"/>
      <c r="G5" s="47"/>
      <c r="H5" s="44"/>
      <c r="I5" s="45"/>
      <c r="J5" s="34"/>
      <c r="K5" s="34"/>
      <c r="L5" s="34"/>
      <c r="M5" s="46"/>
    </row>
    <row r="6" spans="1:14" ht="25.5">
      <c r="A6" s="48" t="s">
        <v>112</v>
      </c>
      <c r="B6" s="229" t="s">
        <v>113</v>
      </c>
      <c r="C6" s="230"/>
      <c r="D6" s="229" t="s">
        <v>116</v>
      </c>
      <c r="E6" s="244"/>
      <c r="F6" s="44"/>
      <c r="G6" s="51" t="s">
        <v>117</v>
      </c>
      <c r="H6" s="104" t="s">
        <v>114</v>
      </c>
      <c r="I6" s="105" t="s">
        <v>120</v>
      </c>
      <c r="J6" s="104" t="s">
        <v>121</v>
      </c>
      <c r="K6" s="104" t="s">
        <v>1062</v>
      </c>
      <c r="L6" s="104" t="s">
        <v>121</v>
      </c>
      <c r="M6" s="46"/>
    </row>
    <row r="7" spans="1:14" s="61" customFormat="1">
      <c r="A7" s="55">
        <v>1</v>
      </c>
      <c r="B7" s="59" t="s">
        <v>1063</v>
      </c>
      <c r="C7" s="58"/>
      <c r="D7" s="59" t="s">
        <v>1064</v>
      </c>
      <c r="E7" s="103"/>
      <c r="F7" s="103"/>
      <c r="G7" s="55">
        <v>1</v>
      </c>
      <c r="H7" s="55"/>
      <c r="I7" s="65"/>
      <c r="J7" s="65"/>
      <c r="K7" s="72"/>
      <c r="L7" s="65"/>
      <c r="M7" s="106"/>
      <c r="N7" s="58" t="s">
        <v>1065</v>
      </c>
    </row>
    <row r="8" spans="1:14" s="61" customFormat="1">
      <c r="A8" s="55">
        <v>2</v>
      </c>
      <c r="B8" s="59" t="s">
        <v>1063</v>
      </c>
      <c r="C8" s="58"/>
      <c r="D8" s="59" t="s">
        <v>1064</v>
      </c>
      <c r="E8" s="103"/>
      <c r="F8" s="103"/>
      <c r="G8" s="55">
        <v>1</v>
      </c>
      <c r="H8" s="55"/>
      <c r="I8" s="65"/>
      <c r="J8" s="65"/>
      <c r="K8" s="72"/>
      <c r="L8" s="65"/>
      <c r="M8" s="106"/>
      <c r="N8" s="58" t="s">
        <v>1065</v>
      </c>
    </row>
    <row r="9" spans="1:14" s="61" customFormat="1">
      <c r="A9" s="55">
        <v>3</v>
      </c>
      <c r="B9" s="59" t="s">
        <v>1063</v>
      </c>
      <c r="C9" s="58"/>
      <c r="D9" s="59" t="s">
        <v>1064</v>
      </c>
      <c r="E9" s="103"/>
      <c r="F9" s="103"/>
      <c r="G9" s="55">
        <v>1</v>
      </c>
      <c r="H9" s="55"/>
      <c r="I9" s="65"/>
      <c r="J9" s="65"/>
      <c r="K9" s="72"/>
      <c r="L9" s="65"/>
      <c r="M9" s="106"/>
      <c r="N9" s="58" t="s">
        <v>1065</v>
      </c>
    </row>
    <row r="10" spans="1:14" s="61" customFormat="1">
      <c r="A10" s="55">
        <v>4</v>
      </c>
      <c r="B10" s="59" t="s">
        <v>1063</v>
      </c>
      <c r="C10" s="107"/>
      <c r="D10" s="58" t="s">
        <v>1066</v>
      </c>
      <c r="E10" s="103"/>
      <c r="F10" s="107"/>
      <c r="G10" s="55">
        <v>1</v>
      </c>
      <c r="H10" s="55"/>
      <c r="I10" s="65"/>
      <c r="J10" s="65"/>
      <c r="K10" s="72"/>
      <c r="L10" s="65"/>
      <c r="M10" s="106"/>
      <c r="N10" s="58" t="s">
        <v>1065</v>
      </c>
    </row>
    <row r="11" spans="1:14" s="61" customFormat="1">
      <c r="A11" s="55">
        <v>5</v>
      </c>
      <c r="B11" s="59" t="s">
        <v>1063</v>
      </c>
      <c r="C11" s="107"/>
      <c r="D11" s="58" t="s">
        <v>1066</v>
      </c>
      <c r="E11" s="103"/>
      <c r="F11" s="107"/>
      <c r="G11" s="55">
        <v>1</v>
      </c>
      <c r="H11" s="55"/>
      <c r="I11" s="65"/>
      <c r="J11" s="65"/>
      <c r="K11" s="72"/>
      <c r="L11" s="65"/>
      <c r="M11" s="106"/>
      <c r="N11" s="58" t="s">
        <v>1065</v>
      </c>
    </row>
    <row r="12" spans="1:14" s="61" customFormat="1">
      <c r="A12" s="55">
        <v>6</v>
      </c>
      <c r="B12" s="59" t="s">
        <v>1063</v>
      </c>
      <c r="C12" s="107"/>
      <c r="D12" s="58" t="s">
        <v>1066</v>
      </c>
      <c r="E12" s="103"/>
      <c r="F12" s="107"/>
      <c r="G12" s="55">
        <v>1</v>
      </c>
      <c r="H12" s="55"/>
      <c r="I12" s="65"/>
      <c r="J12" s="65"/>
      <c r="K12" s="72"/>
      <c r="L12" s="65"/>
      <c r="M12" s="106"/>
      <c r="N12" s="58" t="s">
        <v>1065</v>
      </c>
    </row>
    <row r="13" spans="1:14" s="61" customFormat="1">
      <c r="A13" s="55">
        <v>7</v>
      </c>
      <c r="B13" s="59" t="s">
        <v>1063</v>
      </c>
      <c r="C13" s="107"/>
      <c r="D13" s="58" t="s">
        <v>1066</v>
      </c>
      <c r="E13" s="103"/>
      <c r="F13" s="107"/>
      <c r="G13" s="55">
        <v>1</v>
      </c>
      <c r="H13" s="55"/>
      <c r="I13" s="65"/>
      <c r="J13" s="65"/>
      <c r="K13" s="72"/>
      <c r="L13" s="65"/>
      <c r="M13" s="106"/>
      <c r="N13" s="58" t="s">
        <v>1065</v>
      </c>
    </row>
    <row r="14" spans="1:14" s="61" customFormat="1">
      <c r="A14" s="55">
        <v>8</v>
      </c>
      <c r="B14" s="59" t="s">
        <v>1063</v>
      </c>
      <c r="C14" s="107"/>
      <c r="D14" s="58" t="s">
        <v>1066</v>
      </c>
      <c r="E14" s="103"/>
      <c r="F14" s="107"/>
      <c r="G14" s="55">
        <v>1</v>
      </c>
      <c r="H14" s="55"/>
      <c r="I14" s="65"/>
      <c r="J14" s="65"/>
      <c r="K14" s="72"/>
      <c r="L14" s="65"/>
      <c r="M14" s="106"/>
      <c r="N14" s="58" t="s">
        <v>1065</v>
      </c>
    </row>
    <row r="15" spans="1:14" s="61" customFormat="1">
      <c r="A15" s="55">
        <v>9</v>
      </c>
      <c r="B15" s="59" t="s">
        <v>1063</v>
      </c>
      <c r="C15" s="107"/>
      <c r="D15" s="58" t="s">
        <v>1066</v>
      </c>
      <c r="E15" s="103"/>
      <c r="F15" s="107"/>
      <c r="G15" s="55">
        <v>1</v>
      </c>
      <c r="H15" s="55"/>
      <c r="I15" s="65"/>
      <c r="J15" s="65"/>
      <c r="K15" s="72"/>
      <c r="L15" s="65"/>
      <c r="M15" s="106"/>
      <c r="N15" s="58" t="s">
        <v>1065</v>
      </c>
    </row>
    <row r="16" spans="1:14" s="61" customFormat="1">
      <c r="A16" s="55">
        <v>10</v>
      </c>
      <c r="B16" s="59" t="s">
        <v>1063</v>
      </c>
      <c r="C16" s="107"/>
      <c r="D16" s="58" t="s">
        <v>1066</v>
      </c>
      <c r="E16" s="103"/>
      <c r="F16" s="107"/>
      <c r="G16" s="55">
        <v>1</v>
      </c>
      <c r="H16" s="55"/>
      <c r="I16" s="65"/>
      <c r="J16" s="65"/>
      <c r="K16" s="72"/>
      <c r="L16" s="65"/>
      <c r="M16" s="106"/>
      <c r="N16" s="58" t="s">
        <v>1065</v>
      </c>
    </row>
    <row r="17" spans="1:14" s="61" customFormat="1">
      <c r="A17" s="55">
        <v>11</v>
      </c>
      <c r="B17" s="59" t="s">
        <v>1063</v>
      </c>
      <c r="C17" s="107"/>
      <c r="D17" s="58" t="s">
        <v>1066</v>
      </c>
      <c r="E17" s="103"/>
      <c r="F17" s="107"/>
      <c r="G17" s="55">
        <v>1</v>
      </c>
      <c r="H17" s="55"/>
      <c r="I17" s="65"/>
      <c r="J17" s="65"/>
      <c r="K17" s="72"/>
      <c r="L17" s="65"/>
      <c r="M17" s="106"/>
      <c r="N17" s="58" t="s">
        <v>1065</v>
      </c>
    </row>
    <row r="18" spans="1:14" s="61" customFormat="1">
      <c r="A18" s="55">
        <v>12</v>
      </c>
      <c r="B18" s="59" t="s">
        <v>1063</v>
      </c>
      <c r="C18" s="107"/>
      <c r="D18" s="58" t="s">
        <v>1066</v>
      </c>
      <c r="E18" s="103"/>
      <c r="F18" s="107"/>
      <c r="G18" s="55">
        <v>1</v>
      </c>
      <c r="H18" s="55"/>
      <c r="I18" s="65"/>
      <c r="J18" s="65"/>
      <c r="K18" s="72"/>
      <c r="L18" s="65"/>
      <c r="M18" s="106"/>
      <c r="N18" s="58" t="s">
        <v>1065</v>
      </c>
    </row>
    <row r="19" spans="1:14" s="61" customFormat="1">
      <c r="A19" s="55">
        <v>13</v>
      </c>
      <c r="B19" s="59" t="s">
        <v>1063</v>
      </c>
      <c r="C19" s="107"/>
      <c r="D19" s="58" t="s">
        <v>1066</v>
      </c>
      <c r="E19" s="103"/>
      <c r="F19" s="107"/>
      <c r="G19" s="55">
        <v>1</v>
      </c>
      <c r="H19" s="55"/>
      <c r="I19" s="65"/>
      <c r="J19" s="65"/>
      <c r="K19" s="72"/>
      <c r="L19" s="65"/>
      <c r="M19" s="106"/>
      <c r="N19" s="58" t="s">
        <v>1065</v>
      </c>
    </row>
    <row r="20" spans="1:14" s="61" customFormat="1">
      <c r="A20" s="55">
        <v>14</v>
      </c>
      <c r="B20" s="59" t="s">
        <v>1063</v>
      </c>
      <c r="C20" s="107"/>
      <c r="D20" s="58" t="s">
        <v>1066</v>
      </c>
      <c r="E20" s="103"/>
      <c r="F20" s="107"/>
      <c r="G20" s="55">
        <v>1</v>
      </c>
      <c r="H20" s="55"/>
      <c r="I20" s="65"/>
      <c r="J20" s="65"/>
      <c r="K20" s="72"/>
      <c r="L20" s="65"/>
      <c r="M20" s="106"/>
      <c r="N20" s="58" t="s">
        <v>1065</v>
      </c>
    </row>
    <row r="21" spans="1:14" s="61" customFormat="1">
      <c r="A21" s="55">
        <v>15</v>
      </c>
      <c r="B21" s="59" t="s">
        <v>1063</v>
      </c>
      <c r="C21" s="107"/>
      <c r="D21" s="58" t="s">
        <v>1066</v>
      </c>
      <c r="E21" s="103"/>
      <c r="F21" s="107"/>
      <c r="G21" s="55">
        <v>1</v>
      </c>
      <c r="H21" s="55"/>
      <c r="I21" s="65"/>
      <c r="J21" s="65"/>
      <c r="K21" s="72"/>
      <c r="L21" s="65"/>
      <c r="M21" s="106"/>
      <c r="N21" s="58" t="s">
        <v>1065</v>
      </c>
    </row>
    <row r="22" spans="1:14" s="61" customFormat="1">
      <c r="A22" s="55">
        <v>16</v>
      </c>
      <c r="B22" s="59" t="s">
        <v>1063</v>
      </c>
      <c r="C22" s="107"/>
      <c r="D22" s="58" t="s">
        <v>1066</v>
      </c>
      <c r="E22" s="103"/>
      <c r="F22" s="107"/>
      <c r="G22" s="55">
        <v>1</v>
      </c>
      <c r="H22" s="55"/>
      <c r="I22" s="65"/>
      <c r="J22" s="65"/>
      <c r="K22" s="72"/>
      <c r="L22" s="65"/>
      <c r="M22" s="106"/>
      <c r="N22" s="58" t="s">
        <v>1065</v>
      </c>
    </row>
    <row r="23" spans="1:14" s="61" customFormat="1">
      <c r="A23" s="55">
        <v>17</v>
      </c>
      <c r="B23" s="59" t="s">
        <v>1063</v>
      </c>
      <c r="C23" s="107"/>
      <c r="D23" s="58" t="s">
        <v>1066</v>
      </c>
      <c r="E23" s="103"/>
      <c r="F23" s="107"/>
      <c r="G23" s="55">
        <v>1</v>
      </c>
      <c r="H23" s="55"/>
      <c r="I23" s="65"/>
      <c r="J23" s="65"/>
      <c r="K23" s="72"/>
      <c r="L23" s="65"/>
      <c r="M23" s="106"/>
      <c r="N23" s="58" t="s">
        <v>1065</v>
      </c>
    </row>
    <row r="24" spans="1:14" s="61" customFormat="1">
      <c r="A24" s="55">
        <v>18</v>
      </c>
      <c r="B24" s="59" t="s">
        <v>1063</v>
      </c>
      <c r="C24" s="107"/>
      <c r="D24" s="58" t="s">
        <v>1066</v>
      </c>
      <c r="E24" s="103"/>
      <c r="F24" s="107"/>
      <c r="G24" s="55">
        <v>1</v>
      </c>
      <c r="H24" s="55"/>
      <c r="I24" s="65"/>
      <c r="J24" s="65"/>
      <c r="K24" s="72"/>
      <c r="L24" s="65"/>
      <c r="M24" s="106"/>
      <c r="N24" s="58" t="s">
        <v>1065</v>
      </c>
    </row>
    <row r="25" spans="1:14" s="61" customFormat="1">
      <c r="A25" s="55">
        <v>19</v>
      </c>
      <c r="B25" s="59" t="s">
        <v>1063</v>
      </c>
      <c r="C25" s="107"/>
      <c r="D25" s="58" t="s">
        <v>1066</v>
      </c>
      <c r="E25" s="103"/>
      <c r="F25" s="107"/>
      <c r="G25" s="55">
        <v>1</v>
      </c>
      <c r="H25" s="55"/>
      <c r="I25" s="65"/>
      <c r="J25" s="65"/>
      <c r="K25" s="72"/>
      <c r="L25" s="65"/>
      <c r="M25" s="106"/>
      <c r="N25" s="58" t="s">
        <v>1065</v>
      </c>
    </row>
    <row r="26" spans="1:14" s="61" customFormat="1">
      <c r="A26" s="55">
        <v>20</v>
      </c>
      <c r="B26" s="59" t="s">
        <v>1063</v>
      </c>
      <c r="C26" s="107"/>
      <c r="D26" s="58" t="s">
        <v>1066</v>
      </c>
      <c r="E26" s="103"/>
      <c r="F26" s="107"/>
      <c r="G26" s="55">
        <v>1</v>
      </c>
      <c r="H26" s="55"/>
      <c r="I26" s="65"/>
      <c r="J26" s="65"/>
      <c r="K26" s="72"/>
      <c r="L26" s="65"/>
      <c r="M26" s="106"/>
      <c r="N26" s="58" t="s">
        <v>1065</v>
      </c>
    </row>
    <row r="27" spans="1:14" s="61" customFormat="1">
      <c r="A27" s="55">
        <v>21</v>
      </c>
      <c r="B27" s="59" t="s">
        <v>1063</v>
      </c>
      <c r="C27" s="107"/>
      <c r="D27" s="58" t="s">
        <v>1066</v>
      </c>
      <c r="E27" s="103"/>
      <c r="F27" s="107"/>
      <c r="G27" s="55">
        <v>1</v>
      </c>
      <c r="H27" s="55"/>
      <c r="I27" s="65"/>
      <c r="J27" s="65"/>
      <c r="K27" s="72"/>
      <c r="L27" s="65"/>
      <c r="M27" s="106"/>
      <c r="N27" s="58" t="s">
        <v>1065</v>
      </c>
    </row>
    <row r="28" spans="1:14" s="61" customFormat="1">
      <c r="A28" s="55">
        <v>22</v>
      </c>
      <c r="B28" s="59" t="s">
        <v>1063</v>
      </c>
      <c r="C28" s="107"/>
      <c r="D28" s="58" t="s">
        <v>1066</v>
      </c>
      <c r="E28" s="103"/>
      <c r="F28" s="107"/>
      <c r="G28" s="55">
        <v>1</v>
      </c>
      <c r="H28" s="55"/>
      <c r="I28" s="65"/>
      <c r="J28" s="65"/>
      <c r="K28" s="72"/>
      <c r="L28" s="65"/>
      <c r="M28" s="106"/>
      <c r="N28" s="58" t="s">
        <v>1065</v>
      </c>
    </row>
    <row r="29" spans="1:14" s="61" customFormat="1">
      <c r="A29" s="55">
        <v>23</v>
      </c>
      <c r="B29" s="59" t="s">
        <v>1063</v>
      </c>
      <c r="C29" s="107"/>
      <c r="D29" s="58" t="s">
        <v>1066</v>
      </c>
      <c r="E29" s="103"/>
      <c r="F29" s="107"/>
      <c r="G29" s="55">
        <v>1</v>
      </c>
      <c r="H29" s="55"/>
      <c r="I29" s="65"/>
      <c r="J29" s="65"/>
      <c r="K29" s="72"/>
      <c r="L29" s="65"/>
      <c r="M29" s="106"/>
      <c r="N29" s="58" t="s">
        <v>1065</v>
      </c>
    </row>
    <row r="30" spans="1:14" s="61" customFormat="1">
      <c r="A30" s="55">
        <v>24</v>
      </c>
      <c r="B30" s="59" t="s">
        <v>1063</v>
      </c>
      <c r="C30" s="107"/>
      <c r="D30" s="58" t="s">
        <v>1066</v>
      </c>
      <c r="E30" s="103"/>
      <c r="F30" s="107"/>
      <c r="G30" s="55">
        <v>1</v>
      </c>
      <c r="H30" s="55"/>
      <c r="I30" s="65"/>
      <c r="J30" s="65"/>
      <c r="K30" s="72"/>
      <c r="L30" s="65"/>
      <c r="M30" s="106"/>
      <c r="N30" s="58" t="s">
        <v>1065</v>
      </c>
    </row>
    <row r="31" spans="1:14" s="61" customFormat="1">
      <c r="A31" s="55">
        <v>25</v>
      </c>
      <c r="B31" s="59" t="s">
        <v>1063</v>
      </c>
      <c r="C31" s="107"/>
      <c r="D31" s="58" t="s">
        <v>1066</v>
      </c>
      <c r="E31" s="103"/>
      <c r="F31" s="107"/>
      <c r="G31" s="55">
        <v>1</v>
      </c>
      <c r="H31" s="55"/>
      <c r="I31" s="65"/>
      <c r="J31" s="65"/>
      <c r="K31" s="72"/>
      <c r="L31" s="65"/>
      <c r="M31" s="106"/>
      <c r="N31" s="58" t="s">
        <v>1065</v>
      </c>
    </row>
    <row r="32" spans="1:14" s="61" customFormat="1">
      <c r="A32" s="55">
        <v>26</v>
      </c>
      <c r="B32" s="59" t="s">
        <v>1063</v>
      </c>
      <c r="C32" s="107"/>
      <c r="D32" s="58" t="s">
        <v>1066</v>
      </c>
      <c r="E32" s="103"/>
      <c r="F32" s="107"/>
      <c r="G32" s="55">
        <v>1</v>
      </c>
      <c r="H32" s="55"/>
      <c r="I32" s="65"/>
      <c r="J32" s="65"/>
      <c r="K32" s="72"/>
      <c r="L32" s="65"/>
      <c r="M32" s="106"/>
      <c r="N32" s="58" t="s">
        <v>1065</v>
      </c>
    </row>
    <row r="33" spans="1:14" s="61" customFormat="1">
      <c r="A33" s="55">
        <v>27</v>
      </c>
      <c r="B33" s="59" t="s">
        <v>1063</v>
      </c>
      <c r="C33" s="107"/>
      <c r="D33" s="58" t="s">
        <v>1066</v>
      </c>
      <c r="E33" s="103"/>
      <c r="F33" s="107"/>
      <c r="G33" s="55">
        <v>1</v>
      </c>
      <c r="H33" s="55"/>
      <c r="I33" s="65"/>
      <c r="J33" s="65"/>
      <c r="K33" s="72"/>
      <c r="L33" s="65"/>
      <c r="M33" s="106"/>
      <c r="N33" s="58" t="s">
        <v>1065</v>
      </c>
    </row>
    <row r="34" spans="1:14" s="61" customFormat="1">
      <c r="A34" s="55">
        <v>28</v>
      </c>
      <c r="B34" s="59" t="s">
        <v>1063</v>
      </c>
      <c r="C34" s="107"/>
      <c r="D34" s="58" t="s">
        <v>1066</v>
      </c>
      <c r="E34" s="103"/>
      <c r="F34" s="107"/>
      <c r="G34" s="55">
        <v>1</v>
      </c>
      <c r="H34" s="55"/>
      <c r="I34" s="65"/>
      <c r="J34" s="65"/>
      <c r="K34" s="72"/>
      <c r="L34" s="65"/>
      <c r="M34" s="106"/>
      <c r="N34" s="58" t="s">
        <v>1065</v>
      </c>
    </row>
    <row r="35" spans="1:14" s="61" customFormat="1">
      <c r="A35" s="55">
        <v>29</v>
      </c>
      <c r="B35" s="59" t="s">
        <v>1063</v>
      </c>
      <c r="C35" s="107"/>
      <c r="D35" s="58" t="s">
        <v>1066</v>
      </c>
      <c r="E35" s="103"/>
      <c r="F35" s="107"/>
      <c r="G35" s="55">
        <v>1</v>
      </c>
      <c r="H35" s="55"/>
      <c r="I35" s="65"/>
      <c r="J35" s="65"/>
      <c r="K35" s="72"/>
      <c r="L35" s="65"/>
      <c r="M35" s="106"/>
      <c r="N35" s="58" t="s">
        <v>1065</v>
      </c>
    </row>
    <row r="36" spans="1:14" s="61" customFormat="1">
      <c r="A36" s="55">
        <v>30</v>
      </c>
      <c r="B36" s="59" t="s">
        <v>1063</v>
      </c>
      <c r="C36" s="107"/>
      <c r="D36" s="58" t="s">
        <v>1067</v>
      </c>
      <c r="E36" s="103"/>
      <c r="F36" s="107"/>
      <c r="G36" s="55">
        <v>1</v>
      </c>
      <c r="H36" s="55"/>
      <c r="I36" s="65"/>
      <c r="J36" s="65"/>
      <c r="K36" s="72"/>
      <c r="L36" s="65"/>
      <c r="M36" s="106"/>
      <c r="N36" s="58" t="s">
        <v>1065</v>
      </c>
    </row>
    <row r="37" spans="1:14" s="61" customFormat="1">
      <c r="A37" s="55">
        <v>31</v>
      </c>
      <c r="B37" s="59" t="s">
        <v>1063</v>
      </c>
      <c r="C37" s="107"/>
      <c r="D37" s="58" t="s">
        <v>1067</v>
      </c>
      <c r="E37" s="103"/>
      <c r="F37" s="107"/>
      <c r="G37" s="55">
        <v>1</v>
      </c>
      <c r="H37" s="55"/>
      <c r="I37" s="65"/>
      <c r="J37" s="65"/>
      <c r="K37" s="72"/>
      <c r="L37" s="65"/>
      <c r="M37" s="106"/>
      <c r="N37" s="58" t="s">
        <v>1065</v>
      </c>
    </row>
    <row r="38" spans="1:14" s="61" customFormat="1">
      <c r="A38" s="55">
        <v>32</v>
      </c>
      <c r="B38" s="59" t="s">
        <v>1063</v>
      </c>
      <c r="C38" s="107"/>
      <c r="D38" s="58" t="s">
        <v>1067</v>
      </c>
      <c r="E38" s="103"/>
      <c r="F38" s="107"/>
      <c r="G38" s="55">
        <v>1</v>
      </c>
      <c r="H38" s="55"/>
      <c r="I38" s="65"/>
      <c r="J38" s="65"/>
      <c r="K38" s="72"/>
      <c r="L38" s="65"/>
      <c r="M38" s="106"/>
      <c r="N38" s="58" t="s">
        <v>1065</v>
      </c>
    </row>
    <row r="39" spans="1:14" s="61" customFormat="1">
      <c r="A39" s="55">
        <v>33</v>
      </c>
      <c r="B39" s="59" t="s">
        <v>1063</v>
      </c>
      <c r="C39" s="107"/>
      <c r="D39" s="58" t="s">
        <v>1067</v>
      </c>
      <c r="E39" s="103"/>
      <c r="F39" s="107"/>
      <c r="G39" s="55">
        <v>1</v>
      </c>
      <c r="H39" s="55"/>
      <c r="I39" s="65"/>
      <c r="J39" s="65"/>
      <c r="K39" s="72"/>
      <c r="L39" s="65"/>
      <c r="M39" s="106"/>
      <c r="N39" s="58" t="s">
        <v>1065</v>
      </c>
    </row>
    <row r="40" spans="1:14" s="61" customFormat="1">
      <c r="A40" s="55">
        <v>34</v>
      </c>
      <c r="B40" s="59" t="s">
        <v>1063</v>
      </c>
      <c r="C40" s="107"/>
      <c r="D40" s="58" t="s">
        <v>1067</v>
      </c>
      <c r="E40" s="103"/>
      <c r="F40" s="107"/>
      <c r="G40" s="55">
        <v>1</v>
      </c>
      <c r="H40" s="55"/>
      <c r="I40" s="65"/>
      <c r="J40" s="65"/>
      <c r="K40" s="72"/>
      <c r="L40" s="65"/>
      <c r="M40" s="106">
        <f>COUNT(G7:G40)</f>
        <v>34</v>
      </c>
      <c r="N40" s="58" t="s">
        <v>1065</v>
      </c>
    </row>
    <row r="41" spans="1:14" s="61" customFormat="1">
      <c r="A41" s="55">
        <v>35</v>
      </c>
      <c r="B41" s="59" t="s">
        <v>1068</v>
      </c>
      <c r="C41" s="107"/>
      <c r="D41" s="58" t="s">
        <v>1069</v>
      </c>
      <c r="E41" s="103"/>
      <c r="F41" s="103"/>
      <c r="G41" s="55">
        <v>1</v>
      </c>
      <c r="H41" s="55"/>
      <c r="I41" s="65" t="s">
        <v>1070</v>
      </c>
      <c r="J41" s="65"/>
      <c r="K41" s="72"/>
      <c r="L41" s="65"/>
      <c r="M41" s="106"/>
      <c r="N41" s="58" t="s">
        <v>1065</v>
      </c>
    </row>
    <row r="42" spans="1:14" s="61" customFormat="1">
      <c r="A42" s="55">
        <v>36</v>
      </c>
      <c r="B42" s="59" t="s">
        <v>1068</v>
      </c>
      <c r="C42" s="107"/>
      <c r="D42" s="58" t="s">
        <v>1069</v>
      </c>
      <c r="E42" s="103"/>
      <c r="F42" s="103"/>
      <c r="G42" s="55">
        <v>1</v>
      </c>
      <c r="H42" s="55"/>
      <c r="I42" s="65" t="s">
        <v>1071</v>
      </c>
      <c r="J42" s="65"/>
      <c r="K42" s="72"/>
      <c r="L42" s="65"/>
      <c r="M42" s="106"/>
      <c r="N42" s="58" t="s">
        <v>1065</v>
      </c>
    </row>
    <row r="43" spans="1:14" s="61" customFormat="1">
      <c r="A43" s="55">
        <v>37</v>
      </c>
      <c r="B43" s="59" t="s">
        <v>1068</v>
      </c>
      <c r="C43" s="107"/>
      <c r="D43" s="58" t="s">
        <v>1069</v>
      </c>
      <c r="E43" s="103"/>
      <c r="F43" s="103"/>
      <c r="G43" s="55">
        <v>1</v>
      </c>
      <c r="H43" s="55"/>
      <c r="I43" s="65" t="s">
        <v>1072</v>
      </c>
      <c r="J43" s="65"/>
      <c r="K43" s="72"/>
      <c r="L43" s="65"/>
      <c r="M43" s="106"/>
      <c r="N43" s="58" t="s">
        <v>1065</v>
      </c>
    </row>
    <row r="44" spans="1:14" s="61" customFormat="1">
      <c r="A44" s="55">
        <v>38</v>
      </c>
      <c r="B44" s="59" t="s">
        <v>1068</v>
      </c>
      <c r="C44" s="107"/>
      <c r="D44" s="58" t="s">
        <v>1069</v>
      </c>
      <c r="E44" s="103"/>
      <c r="F44" s="103"/>
      <c r="G44" s="55">
        <v>1</v>
      </c>
      <c r="H44" s="55"/>
      <c r="I44" s="65" t="s">
        <v>1073</v>
      </c>
      <c r="J44" s="65"/>
      <c r="K44" s="72"/>
      <c r="L44" s="65"/>
      <c r="M44" s="106"/>
      <c r="N44" s="58" t="s">
        <v>1065</v>
      </c>
    </row>
    <row r="45" spans="1:14" s="61" customFormat="1">
      <c r="A45" s="55">
        <v>39</v>
      </c>
      <c r="B45" s="59" t="s">
        <v>1068</v>
      </c>
      <c r="C45" s="107"/>
      <c r="D45" s="58" t="s">
        <v>1069</v>
      </c>
      <c r="E45" s="103"/>
      <c r="F45" s="103"/>
      <c r="G45" s="55">
        <v>1</v>
      </c>
      <c r="H45" s="55"/>
      <c r="I45" s="65" t="s">
        <v>1074</v>
      </c>
      <c r="J45" s="65"/>
      <c r="K45" s="72"/>
      <c r="L45" s="65"/>
      <c r="M45" s="106"/>
      <c r="N45" s="58" t="s">
        <v>1065</v>
      </c>
    </row>
    <row r="46" spans="1:14" s="61" customFormat="1">
      <c r="A46" s="55">
        <v>40</v>
      </c>
      <c r="B46" s="59" t="s">
        <v>1068</v>
      </c>
      <c r="C46" s="107"/>
      <c r="D46" s="58" t="s">
        <v>1069</v>
      </c>
      <c r="E46" s="103"/>
      <c r="F46" s="103"/>
      <c r="G46" s="55">
        <v>1</v>
      </c>
      <c r="H46" s="55"/>
      <c r="I46" s="65" t="s">
        <v>1075</v>
      </c>
      <c r="J46" s="65"/>
      <c r="K46" s="72"/>
      <c r="L46" s="65"/>
      <c r="M46" s="106"/>
      <c r="N46" s="58" t="s">
        <v>1065</v>
      </c>
    </row>
    <row r="47" spans="1:14" s="61" customFormat="1">
      <c r="A47" s="55">
        <v>41</v>
      </c>
      <c r="B47" s="59" t="s">
        <v>1068</v>
      </c>
      <c r="C47" s="107"/>
      <c r="D47" s="58" t="s">
        <v>1069</v>
      </c>
      <c r="E47" s="103"/>
      <c r="F47" s="103"/>
      <c r="G47" s="55">
        <v>1</v>
      </c>
      <c r="H47" s="55"/>
      <c r="I47" s="65" t="s">
        <v>1076</v>
      </c>
      <c r="J47" s="65"/>
      <c r="K47" s="72"/>
      <c r="L47" s="65"/>
      <c r="M47" s="106"/>
      <c r="N47" s="58" t="s">
        <v>1065</v>
      </c>
    </row>
    <row r="48" spans="1:14" s="61" customFormat="1">
      <c r="A48" s="55">
        <v>42</v>
      </c>
      <c r="B48" s="59" t="s">
        <v>1068</v>
      </c>
      <c r="C48" s="107"/>
      <c r="D48" s="58" t="s">
        <v>1069</v>
      </c>
      <c r="E48" s="103"/>
      <c r="F48" s="103"/>
      <c r="G48" s="55">
        <v>1</v>
      </c>
      <c r="H48" s="55"/>
      <c r="I48" s="65" t="s">
        <v>1077</v>
      </c>
      <c r="J48" s="65"/>
      <c r="K48" s="72"/>
      <c r="L48" s="65"/>
      <c r="M48" s="106"/>
      <c r="N48" s="58" t="s">
        <v>1065</v>
      </c>
    </row>
    <row r="49" spans="1:14" s="61" customFormat="1">
      <c r="A49" s="55">
        <v>43</v>
      </c>
      <c r="B49" s="59" t="s">
        <v>1068</v>
      </c>
      <c r="C49" s="107"/>
      <c r="D49" s="58" t="s">
        <v>1069</v>
      </c>
      <c r="E49" s="103"/>
      <c r="F49" s="103"/>
      <c r="G49" s="55">
        <v>1</v>
      </c>
      <c r="H49" s="55"/>
      <c r="I49" s="65" t="s">
        <v>1078</v>
      </c>
      <c r="J49" s="65"/>
      <c r="K49" s="72"/>
      <c r="L49" s="65"/>
      <c r="M49" s="106"/>
      <c r="N49" s="58" t="s">
        <v>1065</v>
      </c>
    </row>
    <row r="50" spans="1:14" s="61" customFormat="1">
      <c r="A50" s="55">
        <v>44</v>
      </c>
      <c r="B50" s="59" t="s">
        <v>1068</v>
      </c>
      <c r="C50" s="107"/>
      <c r="D50" s="58" t="s">
        <v>1069</v>
      </c>
      <c r="E50" s="103"/>
      <c r="F50" s="103"/>
      <c r="G50" s="55">
        <v>1</v>
      </c>
      <c r="H50" s="55"/>
      <c r="I50" s="65" t="s">
        <v>1079</v>
      </c>
      <c r="J50" s="65"/>
      <c r="K50" s="72"/>
      <c r="L50" s="65"/>
      <c r="M50" s="106"/>
      <c r="N50" s="58" t="s">
        <v>1065</v>
      </c>
    </row>
    <row r="51" spans="1:14" s="61" customFormat="1">
      <c r="A51" s="55">
        <v>45</v>
      </c>
      <c r="B51" s="59" t="s">
        <v>1068</v>
      </c>
      <c r="C51" s="107"/>
      <c r="D51" s="58" t="s">
        <v>1069</v>
      </c>
      <c r="E51" s="103"/>
      <c r="F51" s="103"/>
      <c r="G51" s="55">
        <v>1</v>
      </c>
      <c r="H51" s="55"/>
      <c r="I51" s="65" t="s">
        <v>1080</v>
      </c>
      <c r="J51" s="65"/>
      <c r="K51" s="72"/>
      <c r="L51" s="65"/>
      <c r="M51" s="106"/>
      <c r="N51" s="58" t="s">
        <v>1065</v>
      </c>
    </row>
    <row r="52" spans="1:14" s="61" customFormat="1">
      <c r="A52" s="55">
        <v>46</v>
      </c>
      <c r="B52" s="59" t="s">
        <v>1068</v>
      </c>
      <c r="C52" s="107"/>
      <c r="D52" s="58" t="s">
        <v>1069</v>
      </c>
      <c r="E52" s="103"/>
      <c r="F52" s="103"/>
      <c r="G52" s="55">
        <v>1</v>
      </c>
      <c r="H52" s="55"/>
      <c r="I52" s="65" t="s">
        <v>1081</v>
      </c>
      <c r="J52" s="65"/>
      <c r="K52" s="72"/>
      <c r="L52" s="65"/>
      <c r="M52" s="106"/>
      <c r="N52" s="58" t="s">
        <v>1065</v>
      </c>
    </row>
    <row r="53" spans="1:14" s="61" customFormat="1">
      <c r="A53" s="55">
        <v>47</v>
      </c>
      <c r="B53" s="59" t="s">
        <v>1068</v>
      </c>
      <c r="C53" s="107"/>
      <c r="D53" s="58" t="s">
        <v>1069</v>
      </c>
      <c r="E53" s="103"/>
      <c r="F53" s="103"/>
      <c r="G53" s="55">
        <v>1</v>
      </c>
      <c r="H53" s="55"/>
      <c r="I53" s="65" t="s">
        <v>1082</v>
      </c>
      <c r="J53" s="65"/>
      <c r="K53" s="72"/>
      <c r="L53" s="65"/>
      <c r="M53" s="106"/>
      <c r="N53" s="58" t="s">
        <v>1065</v>
      </c>
    </row>
    <row r="54" spans="1:14" s="61" customFormat="1">
      <c r="A54" s="55">
        <v>48</v>
      </c>
      <c r="B54" s="59" t="s">
        <v>1068</v>
      </c>
      <c r="C54" s="107"/>
      <c r="D54" s="58" t="s">
        <v>1069</v>
      </c>
      <c r="E54" s="103"/>
      <c r="F54" s="103"/>
      <c r="G54" s="55">
        <v>1</v>
      </c>
      <c r="H54" s="55"/>
      <c r="I54" s="65" t="s">
        <v>1083</v>
      </c>
      <c r="J54" s="65"/>
      <c r="K54" s="72"/>
      <c r="L54" s="65"/>
      <c r="M54" s="106"/>
      <c r="N54" s="58" t="s">
        <v>1065</v>
      </c>
    </row>
    <row r="55" spans="1:14" s="61" customFormat="1">
      <c r="A55" s="55">
        <v>49</v>
      </c>
      <c r="B55" s="59" t="s">
        <v>1068</v>
      </c>
      <c r="C55" s="58"/>
      <c r="D55" s="58" t="s">
        <v>1069</v>
      </c>
      <c r="E55" s="103"/>
      <c r="F55" s="103"/>
      <c r="G55" s="55">
        <v>1</v>
      </c>
      <c r="H55" s="55"/>
      <c r="I55" s="65" t="s">
        <v>1084</v>
      </c>
      <c r="J55" s="65"/>
      <c r="K55" s="72"/>
      <c r="L55" s="65"/>
      <c r="M55" s="106"/>
      <c r="N55" s="58" t="s">
        <v>1065</v>
      </c>
    </row>
    <row r="56" spans="1:14" s="61" customFormat="1">
      <c r="A56" s="55">
        <v>50</v>
      </c>
      <c r="B56" s="59" t="s">
        <v>1068</v>
      </c>
      <c r="C56" s="58"/>
      <c r="D56" s="58" t="s">
        <v>1069</v>
      </c>
      <c r="E56" s="103"/>
      <c r="F56" s="103"/>
      <c r="G56" s="55">
        <v>1</v>
      </c>
      <c r="H56" s="55"/>
      <c r="I56" s="65" t="s">
        <v>1085</v>
      </c>
      <c r="J56" s="65"/>
      <c r="K56" s="72"/>
      <c r="L56" s="65"/>
      <c r="M56" s="106"/>
      <c r="N56" s="58" t="s">
        <v>1065</v>
      </c>
    </row>
    <row r="57" spans="1:14" s="61" customFormat="1">
      <c r="A57" s="55">
        <v>51</v>
      </c>
      <c r="B57" s="59" t="s">
        <v>1068</v>
      </c>
      <c r="C57" s="58"/>
      <c r="D57" s="59" t="s">
        <v>1086</v>
      </c>
      <c r="E57" s="103"/>
      <c r="F57" s="103"/>
      <c r="G57" s="55">
        <v>1</v>
      </c>
      <c r="H57" s="55"/>
      <c r="I57" s="65" t="s">
        <v>1087</v>
      </c>
      <c r="J57" s="65"/>
      <c r="K57" s="72"/>
      <c r="L57" s="65"/>
      <c r="M57" s="106"/>
      <c r="N57" s="58" t="s">
        <v>1065</v>
      </c>
    </row>
    <row r="58" spans="1:14" s="61" customFormat="1">
      <c r="A58" s="55">
        <v>52</v>
      </c>
      <c r="B58" s="59" t="s">
        <v>1068</v>
      </c>
      <c r="C58" s="58"/>
      <c r="D58" s="59" t="s">
        <v>1086</v>
      </c>
      <c r="E58" s="103"/>
      <c r="F58" s="103"/>
      <c r="G58" s="55">
        <v>1</v>
      </c>
      <c r="H58" s="55"/>
      <c r="I58" s="65" t="s">
        <v>1088</v>
      </c>
      <c r="J58" s="65"/>
      <c r="K58" s="72"/>
      <c r="L58" s="65"/>
      <c r="M58" s="106"/>
      <c r="N58" s="58" t="s">
        <v>1065</v>
      </c>
    </row>
    <row r="59" spans="1:14" s="61" customFormat="1">
      <c r="A59" s="55">
        <v>53</v>
      </c>
      <c r="B59" s="59" t="s">
        <v>1068</v>
      </c>
      <c r="C59" s="58"/>
      <c r="D59" s="59" t="s">
        <v>1086</v>
      </c>
      <c r="E59" s="103"/>
      <c r="F59" s="103"/>
      <c r="G59" s="55">
        <v>1</v>
      </c>
      <c r="H59" s="55"/>
      <c r="I59" s="65" t="s">
        <v>1089</v>
      </c>
      <c r="J59" s="65"/>
      <c r="K59" s="72"/>
      <c r="L59" s="65"/>
      <c r="M59" s="106"/>
      <c r="N59" s="58" t="s">
        <v>1065</v>
      </c>
    </row>
    <row r="60" spans="1:14" s="61" customFormat="1">
      <c r="A60" s="55">
        <v>54</v>
      </c>
      <c r="B60" s="59" t="s">
        <v>1068</v>
      </c>
      <c r="C60" s="58"/>
      <c r="D60" s="59" t="s">
        <v>1086</v>
      </c>
      <c r="E60" s="103"/>
      <c r="F60" s="103"/>
      <c r="G60" s="55">
        <v>1</v>
      </c>
      <c r="H60" s="55"/>
      <c r="I60" s="65" t="s">
        <v>1088</v>
      </c>
      <c r="J60" s="65"/>
      <c r="K60" s="72"/>
      <c r="L60" s="65"/>
      <c r="M60" s="106"/>
      <c r="N60" s="58" t="s">
        <v>1065</v>
      </c>
    </row>
    <row r="61" spans="1:14" s="61" customFormat="1">
      <c r="A61" s="55">
        <v>55</v>
      </c>
      <c r="B61" s="59" t="s">
        <v>1068</v>
      </c>
      <c r="C61" s="107"/>
      <c r="D61" s="59" t="s">
        <v>1086</v>
      </c>
      <c r="E61" s="103"/>
      <c r="F61" s="103"/>
      <c r="G61" s="55">
        <v>1</v>
      </c>
      <c r="H61" s="55"/>
      <c r="I61" s="65" t="s">
        <v>1090</v>
      </c>
      <c r="J61" s="65"/>
      <c r="K61" s="72"/>
      <c r="L61" s="65"/>
      <c r="M61" s="106"/>
      <c r="N61" s="58" t="s">
        <v>1065</v>
      </c>
    </row>
    <row r="62" spans="1:14" s="61" customFormat="1">
      <c r="A62" s="55">
        <v>56</v>
      </c>
      <c r="B62" s="59" t="s">
        <v>1068</v>
      </c>
      <c r="C62" s="107"/>
      <c r="D62" s="59" t="s">
        <v>1086</v>
      </c>
      <c r="E62" s="103"/>
      <c r="F62" s="103"/>
      <c r="G62" s="55">
        <v>1</v>
      </c>
      <c r="H62" s="55"/>
      <c r="I62" s="65" t="s">
        <v>1089</v>
      </c>
      <c r="J62" s="65"/>
      <c r="K62" s="72"/>
      <c r="L62" s="65"/>
      <c r="M62" s="106"/>
      <c r="N62" s="58" t="s">
        <v>1065</v>
      </c>
    </row>
    <row r="63" spans="1:14" s="61" customFormat="1">
      <c r="A63" s="55">
        <v>57</v>
      </c>
      <c r="B63" s="59" t="s">
        <v>1068</v>
      </c>
      <c r="C63" s="107"/>
      <c r="D63" s="59" t="s">
        <v>1086</v>
      </c>
      <c r="E63" s="103"/>
      <c r="F63" s="103"/>
      <c r="G63" s="55">
        <v>1</v>
      </c>
      <c r="H63" s="55"/>
      <c r="I63" s="65" t="s">
        <v>1091</v>
      </c>
      <c r="J63" s="65"/>
      <c r="K63" s="72"/>
      <c r="L63" s="65"/>
      <c r="M63" s="106"/>
      <c r="N63" s="58" t="s">
        <v>1065</v>
      </c>
    </row>
    <row r="64" spans="1:14" s="61" customFormat="1">
      <c r="A64" s="55">
        <v>58</v>
      </c>
      <c r="B64" s="59" t="s">
        <v>1068</v>
      </c>
      <c r="C64" s="107"/>
      <c r="D64" s="59" t="s">
        <v>1086</v>
      </c>
      <c r="E64" s="103"/>
      <c r="F64" s="103"/>
      <c r="G64" s="55">
        <v>1</v>
      </c>
      <c r="H64" s="55"/>
      <c r="I64" s="65" t="s">
        <v>1092</v>
      </c>
      <c r="J64" s="65"/>
      <c r="K64" s="72"/>
      <c r="L64" s="65"/>
      <c r="M64" s="106"/>
      <c r="N64" s="58" t="s">
        <v>1065</v>
      </c>
    </row>
    <row r="65" spans="1:14" s="61" customFormat="1">
      <c r="A65" s="55">
        <v>59</v>
      </c>
      <c r="B65" s="59" t="s">
        <v>1068</v>
      </c>
      <c r="C65" s="58"/>
      <c r="D65" s="59" t="s">
        <v>1086</v>
      </c>
      <c r="E65" s="103"/>
      <c r="F65" s="103"/>
      <c r="G65" s="55">
        <v>1</v>
      </c>
      <c r="H65" s="55"/>
      <c r="I65" s="65" t="s">
        <v>1093</v>
      </c>
      <c r="J65" s="65"/>
      <c r="K65" s="72"/>
      <c r="L65" s="65"/>
      <c r="M65" s="106"/>
      <c r="N65" s="58" t="s">
        <v>1065</v>
      </c>
    </row>
    <row r="66" spans="1:14" s="61" customFormat="1">
      <c r="A66" s="55">
        <v>60</v>
      </c>
      <c r="B66" s="59" t="s">
        <v>1068</v>
      </c>
      <c r="C66" s="58"/>
      <c r="D66" s="59" t="s">
        <v>1086</v>
      </c>
      <c r="E66" s="103"/>
      <c r="F66" s="103"/>
      <c r="G66" s="55">
        <v>1</v>
      </c>
      <c r="H66" s="55"/>
      <c r="I66" s="65" t="s">
        <v>1094</v>
      </c>
      <c r="J66" s="65"/>
      <c r="K66" s="72"/>
      <c r="L66" s="65"/>
      <c r="M66" s="106"/>
      <c r="N66" s="58" t="s">
        <v>1065</v>
      </c>
    </row>
    <row r="67" spans="1:14" s="61" customFormat="1">
      <c r="A67" s="55">
        <v>61</v>
      </c>
      <c r="B67" s="59" t="s">
        <v>1068</v>
      </c>
      <c r="C67" s="58"/>
      <c r="D67" s="59" t="s">
        <v>1086</v>
      </c>
      <c r="E67" s="103"/>
      <c r="F67" s="103"/>
      <c r="G67" s="55">
        <v>1</v>
      </c>
      <c r="H67" s="55"/>
      <c r="I67" s="65" t="s">
        <v>1089</v>
      </c>
      <c r="J67" s="65"/>
      <c r="K67" s="72"/>
      <c r="L67" s="65"/>
      <c r="M67" s="106"/>
      <c r="N67" s="58" t="s">
        <v>1065</v>
      </c>
    </row>
    <row r="68" spans="1:14" s="61" customFormat="1">
      <c r="A68" s="55">
        <v>62</v>
      </c>
      <c r="B68" s="59" t="s">
        <v>1068</v>
      </c>
      <c r="C68" s="107"/>
      <c r="D68" s="59" t="s">
        <v>1086</v>
      </c>
      <c r="E68" s="103"/>
      <c r="F68" s="103"/>
      <c r="G68" s="55">
        <v>1</v>
      </c>
      <c r="H68" s="55"/>
      <c r="I68" s="65" t="s">
        <v>1095</v>
      </c>
      <c r="J68" s="65"/>
      <c r="K68" s="72"/>
      <c r="L68" s="65"/>
      <c r="M68" s="106"/>
      <c r="N68" s="58" t="s">
        <v>1065</v>
      </c>
    </row>
    <row r="69" spans="1:14" s="61" customFormat="1">
      <c r="A69" s="55">
        <v>63</v>
      </c>
      <c r="B69" s="59" t="s">
        <v>1068</v>
      </c>
      <c r="C69" s="107"/>
      <c r="D69" s="59" t="s">
        <v>1086</v>
      </c>
      <c r="E69" s="103"/>
      <c r="F69" s="103"/>
      <c r="G69" s="55">
        <v>1</v>
      </c>
      <c r="H69" s="55"/>
      <c r="I69" s="65" t="s">
        <v>1096</v>
      </c>
      <c r="J69" s="65"/>
      <c r="K69" s="72"/>
      <c r="L69" s="65"/>
      <c r="M69" s="106"/>
      <c r="N69" s="58" t="s">
        <v>1065</v>
      </c>
    </row>
    <row r="70" spans="1:14" s="61" customFormat="1">
      <c r="A70" s="55">
        <v>64</v>
      </c>
      <c r="B70" s="59" t="s">
        <v>1068</v>
      </c>
      <c r="C70" s="107"/>
      <c r="D70" s="58" t="s">
        <v>1097</v>
      </c>
      <c r="E70" s="103"/>
      <c r="F70" s="103"/>
      <c r="G70" s="55">
        <v>1</v>
      </c>
      <c r="H70" s="55"/>
      <c r="I70" s="65" t="s">
        <v>1098</v>
      </c>
      <c r="J70" s="65"/>
      <c r="K70" s="72"/>
      <c r="L70" s="65"/>
      <c r="M70" s="106"/>
      <c r="N70" s="58" t="s">
        <v>1065</v>
      </c>
    </row>
    <row r="71" spans="1:14" s="61" customFormat="1">
      <c r="A71" s="55">
        <v>65</v>
      </c>
      <c r="B71" s="59" t="s">
        <v>1068</v>
      </c>
      <c r="C71" s="107"/>
      <c r="D71" s="58" t="s">
        <v>1097</v>
      </c>
      <c r="E71" s="103"/>
      <c r="F71" s="103"/>
      <c r="G71" s="55">
        <v>1</v>
      </c>
      <c r="H71" s="55"/>
      <c r="I71" s="65" t="s">
        <v>1099</v>
      </c>
      <c r="J71" s="65"/>
      <c r="K71" s="72"/>
      <c r="L71" s="65"/>
      <c r="M71" s="106"/>
      <c r="N71" s="58" t="s">
        <v>1065</v>
      </c>
    </row>
    <row r="72" spans="1:14" s="61" customFormat="1">
      <c r="A72" s="55">
        <v>66</v>
      </c>
      <c r="B72" s="59" t="s">
        <v>1068</v>
      </c>
      <c r="C72" s="107"/>
      <c r="D72" s="58" t="s">
        <v>1097</v>
      </c>
      <c r="E72" s="103"/>
      <c r="F72" s="103"/>
      <c r="G72" s="55">
        <v>1</v>
      </c>
      <c r="H72" s="55"/>
      <c r="I72" s="65" t="s">
        <v>1100</v>
      </c>
      <c r="J72" s="65"/>
      <c r="K72" s="72"/>
      <c r="L72" s="65"/>
      <c r="M72" s="106"/>
      <c r="N72" s="58" t="s">
        <v>1065</v>
      </c>
    </row>
    <row r="73" spans="1:14" s="61" customFormat="1">
      <c r="A73" s="55">
        <v>67</v>
      </c>
      <c r="B73" s="59" t="s">
        <v>1068</v>
      </c>
      <c r="C73" s="107"/>
      <c r="D73" s="58" t="s">
        <v>1097</v>
      </c>
      <c r="E73" s="103"/>
      <c r="F73" s="103"/>
      <c r="G73" s="55">
        <v>1</v>
      </c>
      <c r="H73" s="55"/>
      <c r="I73" s="65" t="s">
        <v>1101</v>
      </c>
      <c r="J73" s="65"/>
      <c r="K73" s="72"/>
      <c r="L73" s="65"/>
      <c r="M73" s="106"/>
      <c r="N73" s="58" t="s">
        <v>1065</v>
      </c>
    </row>
    <row r="74" spans="1:14" s="61" customFormat="1">
      <c r="A74" s="55">
        <v>68</v>
      </c>
      <c r="B74" s="59" t="s">
        <v>1068</v>
      </c>
      <c r="C74" s="107"/>
      <c r="D74" s="58" t="s">
        <v>1097</v>
      </c>
      <c r="E74" s="103"/>
      <c r="F74" s="103"/>
      <c r="G74" s="55">
        <v>1</v>
      </c>
      <c r="H74" s="55"/>
      <c r="I74" s="65" t="s">
        <v>1102</v>
      </c>
      <c r="J74" s="65"/>
      <c r="K74" s="72"/>
      <c r="L74" s="65"/>
      <c r="M74" s="106">
        <f>COUNT(G41:G74)</f>
        <v>34</v>
      </c>
      <c r="N74" s="58" t="s">
        <v>1065</v>
      </c>
    </row>
    <row r="75" spans="1:14" s="61" customFormat="1">
      <c r="A75" s="55">
        <v>69</v>
      </c>
      <c r="B75" s="59" t="s">
        <v>1068</v>
      </c>
      <c r="C75" s="58"/>
      <c r="D75" s="59" t="s">
        <v>1103</v>
      </c>
      <c r="E75" s="103"/>
      <c r="F75" s="103"/>
      <c r="G75" s="55">
        <v>1</v>
      </c>
      <c r="H75" s="55"/>
      <c r="I75" s="108" t="s">
        <v>1104</v>
      </c>
      <c r="J75" s="108"/>
      <c r="K75" s="109"/>
      <c r="L75" s="108"/>
      <c r="M75" s="106"/>
      <c r="N75" s="58" t="s">
        <v>1105</v>
      </c>
    </row>
    <row r="76" spans="1:14" s="61" customFormat="1">
      <c r="A76" s="55">
        <v>70</v>
      </c>
      <c r="B76" s="59" t="s">
        <v>1068</v>
      </c>
      <c r="C76" s="58"/>
      <c r="D76" s="59" t="s">
        <v>1103</v>
      </c>
      <c r="E76" s="103"/>
      <c r="F76" s="103"/>
      <c r="G76" s="55">
        <v>1</v>
      </c>
      <c r="H76" s="55"/>
      <c r="I76" s="108" t="s">
        <v>1106</v>
      </c>
      <c r="J76" s="108"/>
      <c r="K76" s="109"/>
      <c r="L76" s="108"/>
      <c r="M76" s="106"/>
      <c r="N76" s="58" t="s">
        <v>1105</v>
      </c>
    </row>
    <row r="77" spans="1:14" s="61" customFormat="1">
      <c r="A77" s="55">
        <v>71</v>
      </c>
      <c r="B77" s="59" t="s">
        <v>1068</v>
      </c>
      <c r="C77" s="58"/>
      <c r="D77" s="59" t="s">
        <v>1103</v>
      </c>
      <c r="E77" s="103"/>
      <c r="F77" s="103"/>
      <c r="G77" s="55">
        <v>1</v>
      </c>
      <c r="H77" s="55"/>
      <c r="I77" s="108" t="s">
        <v>1107</v>
      </c>
      <c r="J77" s="108"/>
      <c r="K77" s="109"/>
      <c r="L77" s="108"/>
      <c r="M77" s="106"/>
      <c r="N77" s="58" t="s">
        <v>1105</v>
      </c>
    </row>
    <row r="78" spans="1:14" s="61" customFormat="1">
      <c r="A78" s="55">
        <v>72</v>
      </c>
      <c r="B78" s="59" t="s">
        <v>1068</v>
      </c>
      <c r="C78" s="58"/>
      <c r="D78" s="59" t="s">
        <v>1103</v>
      </c>
      <c r="E78" s="103"/>
      <c r="F78" s="103"/>
      <c r="G78" s="55">
        <v>1</v>
      </c>
      <c r="H78" s="55"/>
      <c r="I78" s="108" t="s">
        <v>1108</v>
      </c>
      <c r="J78" s="108"/>
      <c r="K78" s="109"/>
      <c r="L78" s="108"/>
      <c r="M78" s="106"/>
      <c r="N78" s="58" t="s">
        <v>1105</v>
      </c>
    </row>
    <row r="79" spans="1:14" s="61" customFormat="1">
      <c r="A79" s="55">
        <v>73</v>
      </c>
      <c r="B79" s="59" t="s">
        <v>1068</v>
      </c>
      <c r="C79" s="58"/>
      <c r="D79" s="59" t="s">
        <v>1103</v>
      </c>
      <c r="E79" s="103"/>
      <c r="F79" s="103"/>
      <c r="G79" s="55">
        <v>1</v>
      </c>
      <c r="H79" s="55"/>
      <c r="I79" s="108" t="s">
        <v>1109</v>
      </c>
      <c r="J79" s="108"/>
      <c r="K79" s="109"/>
      <c r="L79" s="108"/>
      <c r="M79" s="106"/>
      <c r="N79" s="58" t="s">
        <v>1105</v>
      </c>
    </row>
    <row r="80" spans="1:14" s="61" customFormat="1">
      <c r="A80" s="55">
        <v>74</v>
      </c>
      <c r="B80" s="59" t="s">
        <v>1068</v>
      </c>
      <c r="C80" s="58"/>
      <c r="D80" s="59" t="s">
        <v>1103</v>
      </c>
      <c r="E80" s="103"/>
      <c r="F80" s="103"/>
      <c r="G80" s="55">
        <v>1</v>
      </c>
      <c r="H80" s="55"/>
      <c r="I80" s="108" t="s">
        <v>1110</v>
      </c>
      <c r="J80" s="108"/>
      <c r="K80" s="109"/>
      <c r="L80" s="108"/>
      <c r="M80" s="106"/>
      <c r="N80" s="58" t="s">
        <v>1105</v>
      </c>
    </row>
    <row r="81" spans="1:14" s="61" customFormat="1">
      <c r="A81" s="55">
        <v>75</v>
      </c>
      <c r="B81" s="59" t="s">
        <v>1068</v>
      </c>
      <c r="C81" s="58"/>
      <c r="D81" s="59" t="s">
        <v>1103</v>
      </c>
      <c r="E81" s="103"/>
      <c r="F81" s="103"/>
      <c r="G81" s="55">
        <v>1</v>
      </c>
      <c r="H81" s="55"/>
      <c r="I81" s="108" t="s">
        <v>1111</v>
      </c>
      <c r="J81" s="108"/>
      <c r="K81" s="109"/>
      <c r="L81" s="108"/>
      <c r="M81" s="106"/>
      <c r="N81" s="58" t="s">
        <v>1105</v>
      </c>
    </row>
    <row r="82" spans="1:14" s="61" customFormat="1">
      <c r="A82" s="55">
        <v>76</v>
      </c>
      <c r="B82" s="59" t="s">
        <v>1068</v>
      </c>
      <c r="C82" s="58"/>
      <c r="D82" s="59" t="s">
        <v>1103</v>
      </c>
      <c r="E82" s="103"/>
      <c r="F82" s="103"/>
      <c r="G82" s="55">
        <v>1</v>
      </c>
      <c r="H82" s="55"/>
      <c r="I82" s="108" t="s">
        <v>1112</v>
      </c>
      <c r="J82" s="108"/>
      <c r="K82" s="109"/>
      <c r="L82" s="108"/>
      <c r="M82" s="106"/>
      <c r="N82" s="58" t="s">
        <v>1105</v>
      </c>
    </row>
    <row r="83" spans="1:14" s="61" customFormat="1">
      <c r="A83" s="55">
        <v>77</v>
      </c>
      <c r="B83" s="59" t="s">
        <v>1068</v>
      </c>
      <c r="C83" s="58"/>
      <c r="D83" s="59" t="s">
        <v>1103</v>
      </c>
      <c r="E83" s="103"/>
      <c r="F83" s="103"/>
      <c r="G83" s="55">
        <v>1</v>
      </c>
      <c r="H83" s="55"/>
      <c r="I83" s="108" t="s">
        <v>1113</v>
      </c>
      <c r="J83" s="108"/>
      <c r="K83" s="109"/>
      <c r="L83" s="108"/>
      <c r="M83" s="106"/>
      <c r="N83" s="58" t="s">
        <v>1105</v>
      </c>
    </row>
    <row r="84" spans="1:14" s="61" customFormat="1">
      <c r="A84" s="55">
        <v>78</v>
      </c>
      <c r="B84" s="59" t="s">
        <v>1068</v>
      </c>
      <c r="C84" s="58"/>
      <c r="D84" s="59" t="s">
        <v>1103</v>
      </c>
      <c r="E84" s="103"/>
      <c r="F84" s="103"/>
      <c r="G84" s="55">
        <v>1</v>
      </c>
      <c r="H84" s="55"/>
      <c r="I84" s="108" t="s">
        <v>1114</v>
      </c>
      <c r="J84" s="108"/>
      <c r="K84" s="109"/>
      <c r="L84" s="108"/>
      <c r="M84" s="106"/>
      <c r="N84" s="58" t="s">
        <v>1105</v>
      </c>
    </row>
    <row r="85" spans="1:14" s="61" customFormat="1">
      <c r="A85" s="55">
        <v>79</v>
      </c>
      <c r="B85" s="59" t="s">
        <v>1068</v>
      </c>
      <c r="C85" s="58"/>
      <c r="D85" s="59" t="s">
        <v>1103</v>
      </c>
      <c r="E85" s="103"/>
      <c r="F85" s="103"/>
      <c r="G85" s="55">
        <v>1</v>
      </c>
      <c r="H85" s="55"/>
      <c r="I85" s="108" t="s">
        <v>1115</v>
      </c>
      <c r="J85" s="108"/>
      <c r="K85" s="109"/>
      <c r="L85" s="108"/>
      <c r="M85" s="106"/>
      <c r="N85" s="58" t="s">
        <v>1105</v>
      </c>
    </row>
    <row r="86" spans="1:14" s="61" customFormat="1">
      <c r="A86" s="55">
        <v>80</v>
      </c>
      <c r="B86" s="59" t="s">
        <v>1068</v>
      </c>
      <c r="C86" s="58"/>
      <c r="D86" s="59" t="s">
        <v>1103</v>
      </c>
      <c r="E86" s="103"/>
      <c r="F86" s="103"/>
      <c r="G86" s="55">
        <v>1</v>
      </c>
      <c r="H86" s="55"/>
      <c r="I86" s="108" t="s">
        <v>1116</v>
      </c>
      <c r="J86" s="108"/>
      <c r="K86" s="109"/>
      <c r="L86" s="108"/>
      <c r="M86" s="106"/>
      <c r="N86" s="58" t="s">
        <v>1105</v>
      </c>
    </row>
    <row r="87" spans="1:14" s="61" customFormat="1">
      <c r="A87" s="55">
        <v>81</v>
      </c>
      <c r="B87" s="59" t="s">
        <v>1068</v>
      </c>
      <c r="C87" s="58"/>
      <c r="D87" s="59" t="s">
        <v>1103</v>
      </c>
      <c r="E87" s="103"/>
      <c r="F87" s="103"/>
      <c r="G87" s="55">
        <v>1</v>
      </c>
      <c r="H87" s="55"/>
      <c r="I87" s="108" t="s">
        <v>1117</v>
      </c>
      <c r="J87" s="108"/>
      <c r="K87" s="109"/>
      <c r="L87" s="108"/>
      <c r="M87" s="106"/>
      <c r="N87" s="58" t="s">
        <v>1105</v>
      </c>
    </row>
    <row r="88" spans="1:14" s="61" customFormat="1">
      <c r="A88" s="55">
        <v>82</v>
      </c>
      <c r="B88" s="59" t="s">
        <v>1068</v>
      </c>
      <c r="C88" s="58"/>
      <c r="D88" s="59" t="s">
        <v>1103</v>
      </c>
      <c r="E88" s="103"/>
      <c r="F88" s="103"/>
      <c r="G88" s="55">
        <v>1</v>
      </c>
      <c r="H88" s="55"/>
      <c r="I88" s="108" t="s">
        <v>1118</v>
      </c>
      <c r="J88" s="108"/>
      <c r="K88" s="109"/>
      <c r="L88" s="108"/>
      <c r="M88" s="106"/>
      <c r="N88" s="58" t="s">
        <v>1105</v>
      </c>
    </row>
    <row r="89" spans="1:14" s="61" customFormat="1">
      <c r="A89" s="55">
        <v>83</v>
      </c>
      <c r="B89" s="59" t="s">
        <v>1068</v>
      </c>
      <c r="C89" s="58"/>
      <c r="D89" s="59" t="s">
        <v>1103</v>
      </c>
      <c r="E89" s="103"/>
      <c r="F89" s="103"/>
      <c r="G89" s="55">
        <v>1</v>
      </c>
      <c r="H89" s="55"/>
      <c r="I89" s="108" t="s">
        <v>1119</v>
      </c>
      <c r="J89" s="108"/>
      <c r="K89" s="109"/>
      <c r="L89" s="108"/>
      <c r="M89" s="106"/>
      <c r="N89" s="58" t="s">
        <v>1105</v>
      </c>
    </row>
    <row r="90" spans="1:14" s="61" customFormat="1">
      <c r="A90" s="55">
        <v>84</v>
      </c>
      <c r="B90" s="59" t="s">
        <v>1068</v>
      </c>
      <c r="C90" s="58"/>
      <c r="D90" s="59" t="s">
        <v>1103</v>
      </c>
      <c r="E90" s="103"/>
      <c r="F90" s="103"/>
      <c r="G90" s="55">
        <v>1</v>
      </c>
      <c r="H90" s="55"/>
      <c r="I90" s="108" t="s">
        <v>1120</v>
      </c>
      <c r="J90" s="108"/>
      <c r="K90" s="109"/>
      <c r="L90" s="108"/>
      <c r="M90" s="106"/>
      <c r="N90" s="58" t="s">
        <v>1105</v>
      </c>
    </row>
    <row r="91" spans="1:14" s="61" customFormat="1">
      <c r="A91" s="55">
        <v>85</v>
      </c>
      <c r="B91" s="59" t="s">
        <v>1068</v>
      </c>
      <c r="C91" s="58"/>
      <c r="D91" s="59" t="s">
        <v>1103</v>
      </c>
      <c r="E91" s="103"/>
      <c r="F91" s="103"/>
      <c r="G91" s="55">
        <v>1</v>
      </c>
      <c r="H91" s="55"/>
      <c r="I91" s="108" t="s">
        <v>1121</v>
      </c>
      <c r="J91" s="108"/>
      <c r="K91" s="109"/>
      <c r="L91" s="108"/>
      <c r="M91" s="106"/>
      <c r="N91" s="58" t="s">
        <v>1105</v>
      </c>
    </row>
    <row r="92" spans="1:14" s="61" customFormat="1">
      <c r="A92" s="55">
        <v>86</v>
      </c>
      <c r="B92" s="59" t="s">
        <v>1068</v>
      </c>
      <c r="C92" s="58"/>
      <c r="D92" s="59" t="s">
        <v>1103</v>
      </c>
      <c r="E92" s="103"/>
      <c r="F92" s="103"/>
      <c r="G92" s="55">
        <v>1</v>
      </c>
      <c r="H92" s="55"/>
      <c r="I92" s="108" t="s">
        <v>1122</v>
      </c>
      <c r="J92" s="108"/>
      <c r="K92" s="109"/>
      <c r="L92" s="108"/>
      <c r="M92" s="106"/>
      <c r="N92" s="58" t="s">
        <v>1105</v>
      </c>
    </row>
    <row r="93" spans="1:14" s="61" customFormat="1">
      <c r="A93" s="55">
        <v>87</v>
      </c>
      <c r="B93" s="59" t="s">
        <v>1068</v>
      </c>
      <c r="C93" s="58"/>
      <c r="D93" s="59" t="s">
        <v>1103</v>
      </c>
      <c r="E93" s="103"/>
      <c r="F93" s="103"/>
      <c r="G93" s="55">
        <v>1</v>
      </c>
      <c r="H93" s="55"/>
      <c r="I93" s="108" t="s">
        <v>1123</v>
      </c>
      <c r="J93" s="108"/>
      <c r="K93" s="109"/>
      <c r="L93" s="108"/>
      <c r="M93" s="106"/>
      <c r="N93" s="58" t="s">
        <v>1105</v>
      </c>
    </row>
    <row r="94" spans="1:14" s="61" customFormat="1">
      <c r="A94" s="55">
        <v>88</v>
      </c>
      <c r="B94" s="59" t="s">
        <v>1068</v>
      </c>
      <c r="C94" s="58"/>
      <c r="D94" s="59" t="s">
        <v>1103</v>
      </c>
      <c r="E94" s="103"/>
      <c r="F94" s="103"/>
      <c r="G94" s="55">
        <v>1</v>
      </c>
      <c r="H94" s="55"/>
      <c r="I94" s="108" t="s">
        <v>1124</v>
      </c>
      <c r="J94" s="108"/>
      <c r="K94" s="109"/>
      <c r="L94" s="108"/>
      <c r="M94" s="106"/>
      <c r="N94" s="58" t="s">
        <v>1105</v>
      </c>
    </row>
    <row r="95" spans="1:14" s="61" customFormat="1">
      <c r="A95" s="55">
        <v>89</v>
      </c>
      <c r="B95" s="59" t="s">
        <v>1068</v>
      </c>
      <c r="C95" s="58"/>
      <c r="D95" s="59" t="s">
        <v>1103</v>
      </c>
      <c r="E95" s="103"/>
      <c r="F95" s="103"/>
      <c r="G95" s="55">
        <v>1</v>
      </c>
      <c r="H95" s="55"/>
      <c r="I95" s="108" t="s">
        <v>1125</v>
      </c>
      <c r="J95" s="108"/>
      <c r="K95" s="109"/>
      <c r="L95" s="108"/>
      <c r="M95" s="106"/>
      <c r="N95" s="58" t="s">
        <v>1105</v>
      </c>
    </row>
    <row r="96" spans="1:14" s="61" customFormat="1">
      <c r="A96" s="55">
        <v>90</v>
      </c>
      <c r="B96" s="59" t="s">
        <v>1068</v>
      </c>
      <c r="C96" s="58"/>
      <c r="D96" s="59" t="s">
        <v>1103</v>
      </c>
      <c r="E96" s="103"/>
      <c r="F96" s="103"/>
      <c r="G96" s="55">
        <v>1</v>
      </c>
      <c r="H96" s="55"/>
      <c r="I96" s="108" t="s">
        <v>1126</v>
      </c>
      <c r="J96" s="108"/>
      <c r="K96" s="109"/>
      <c r="L96" s="108"/>
      <c r="M96" s="106"/>
      <c r="N96" s="58" t="s">
        <v>1105</v>
      </c>
    </row>
    <row r="97" spans="1:14" s="61" customFormat="1">
      <c r="A97" s="55">
        <v>91</v>
      </c>
      <c r="B97" s="59" t="s">
        <v>1068</v>
      </c>
      <c r="C97" s="58"/>
      <c r="D97" s="59" t="s">
        <v>1103</v>
      </c>
      <c r="E97" s="103"/>
      <c r="F97" s="103"/>
      <c r="G97" s="55">
        <v>1</v>
      </c>
      <c r="H97" s="55"/>
      <c r="I97" s="65" t="s">
        <v>1127</v>
      </c>
      <c r="J97" s="65"/>
      <c r="K97" s="72"/>
      <c r="L97" s="65"/>
      <c r="M97" s="106"/>
      <c r="N97" s="58" t="s">
        <v>1105</v>
      </c>
    </row>
    <row r="98" spans="1:14" s="61" customFormat="1">
      <c r="A98" s="55">
        <v>92</v>
      </c>
      <c r="B98" s="59" t="s">
        <v>1068</v>
      </c>
      <c r="C98" s="58"/>
      <c r="D98" s="59" t="s">
        <v>1103</v>
      </c>
      <c r="E98" s="103"/>
      <c r="F98" s="103"/>
      <c r="G98" s="55">
        <v>1</v>
      </c>
      <c r="H98" s="55"/>
      <c r="I98" s="65" t="s">
        <v>1096</v>
      </c>
      <c r="J98" s="65"/>
      <c r="K98" s="72"/>
      <c r="L98" s="65"/>
      <c r="M98" s="106"/>
      <c r="N98" s="58" t="s">
        <v>1105</v>
      </c>
    </row>
    <row r="99" spans="1:14" s="61" customFormat="1">
      <c r="A99" s="55">
        <v>93</v>
      </c>
      <c r="B99" s="59" t="s">
        <v>1068</v>
      </c>
      <c r="C99" s="58"/>
      <c r="D99" s="59" t="s">
        <v>1103</v>
      </c>
      <c r="E99" s="103"/>
      <c r="F99" s="103"/>
      <c r="G99" s="55">
        <v>1</v>
      </c>
      <c r="H99" s="55"/>
      <c r="I99" s="65" t="s">
        <v>1096</v>
      </c>
      <c r="J99" s="65"/>
      <c r="K99" s="72"/>
      <c r="L99" s="65"/>
      <c r="M99" s="106"/>
      <c r="N99" s="58" t="s">
        <v>1105</v>
      </c>
    </row>
    <row r="100" spans="1:14" s="61" customFormat="1">
      <c r="A100" s="55">
        <v>94</v>
      </c>
      <c r="B100" s="59" t="s">
        <v>1068</v>
      </c>
      <c r="C100" s="58"/>
      <c r="D100" s="59" t="s">
        <v>1103</v>
      </c>
      <c r="E100" s="103"/>
      <c r="F100" s="103"/>
      <c r="G100" s="55">
        <v>1</v>
      </c>
      <c r="H100" s="55"/>
      <c r="I100" s="65" t="s">
        <v>1128</v>
      </c>
      <c r="J100" s="65"/>
      <c r="K100" s="72"/>
      <c r="L100" s="65"/>
      <c r="M100" s="106"/>
      <c r="N100" s="58" t="s">
        <v>1105</v>
      </c>
    </row>
    <row r="101" spans="1:14" s="61" customFormat="1">
      <c r="A101" s="55">
        <v>95</v>
      </c>
      <c r="B101" s="59" t="s">
        <v>1068</v>
      </c>
      <c r="C101" s="58"/>
      <c r="D101" s="59" t="s">
        <v>1103</v>
      </c>
      <c r="E101" s="103"/>
      <c r="F101" s="103"/>
      <c r="G101" s="55">
        <v>1</v>
      </c>
      <c r="H101" s="55"/>
      <c r="I101" s="65" t="s">
        <v>1096</v>
      </c>
      <c r="J101" s="65"/>
      <c r="K101" s="72"/>
      <c r="L101" s="65"/>
      <c r="M101" s="106"/>
      <c r="N101" s="58" t="s">
        <v>1105</v>
      </c>
    </row>
    <row r="102" spans="1:14" s="61" customFormat="1">
      <c r="A102" s="55">
        <v>96</v>
      </c>
      <c r="B102" s="59" t="s">
        <v>1068</v>
      </c>
      <c r="C102" s="58"/>
      <c r="D102" s="59" t="s">
        <v>1103</v>
      </c>
      <c r="E102" s="103"/>
      <c r="F102" s="103"/>
      <c r="G102" s="55">
        <v>1</v>
      </c>
      <c r="H102" s="55"/>
      <c r="I102" s="65" t="s">
        <v>1096</v>
      </c>
      <c r="J102" s="65"/>
      <c r="K102" s="72"/>
      <c r="L102" s="65"/>
      <c r="M102" s="106"/>
      <c r="N102" s="58" t="s">
        <v>1105</v>
      </c>
    </row>
    <row r="103" spans="1:14" s="61" customFormat="1">
      <c r="A103" s="55">
        <v>97</v>
      </c>
      <c r="B103" s="59" t="s">
        <v>1068</v>
      </c>
      <c r="C103" s="58"/>
      <c r="D103" s="59" t="s">
        <v>1103</v>
      </c>
      <c r="E103" s="103"/>
      <c r="F103" s="103"/>
      <c r="G103" s="55">
        <v>1</v>
      </c>
      <c r="H103" s="55"/>
      <c r="I103" s="65" t="s">
        <v>1129</v>
      </c>
      <c r="J103" s="65"/>
      <c r="K103" s="72"/>
      <c r="L103" s="65"/>
      <c r="M103" s="106"/>
      <c r="N103" s="58" t="s">
        <v>1105</v>
      </c>
    </row>
    <row r="104" spans="1:14" s="61" customFormat="1">
      <c r="A104" s="55">
        <v>98</v>
      </c>
      <c r="B104" s="59" t="s">
        <v>1068</v>
      </c>
      <c r="C104" s="58"/>
      <c r="D104" s="59" t="s">
        <v>1103</v>
      </c>
      <c r="E104" s="103"/>
      <c r="F104" s="103"/>
      <c r="G104" s="55">
        <v>1</v>
      </c>
      <c r="H104" s="55"/>
      <c r="I104" s="65" t="s">
        <v>1130</v>
      </c>
      <c r="J104" s="65"/>
      <c r="K104" s="72"/>
      <c r="L104" s="65"/>
      <c r="M104" s="106"/>
      <c r="N104" s="58" t="s">
        <v>1105</v>
      </c>
    </row>
    <row r="105" spans="1:14" s="61" customFormat="1">
      <c r="A105" s="55">
        <v>99</v>
      </c>
      <c r="B105" s="59" t="s">
        <v>1068</v>
      </c>
      <c r="C105" s="58"/>
      <c r="D105" s="59" t="s">
        <v>1103</v>
      </c>
      <c r="E105" s="103"/>
      <c r="F105" s="103"/>
      <c r="G105" s="55">
        <v>1</v>
      </c>
      <c r="H105" s="55"/>
      <c r="I105" s="65" t="s">
        <v>1131</v>
      </c>
      <c r="J105" s="65"/>
      <c r="K105" s="72"/>
      <c r="L105" s="65"/>
      <c r="M105" s="106"/>
      <c r="N105" s="58" t="s">
        <v>1105</v>
      </c>
    </row>
    <row r="106" spans="1:14" s="61" customFormat="1">
      <c r="A106" s="55">
        <v>100</v>
      </c>
      <c r="B106" s="59" t="s">
        <v>1068</v>
      </c>
      <c r="C106" s="58"/>
      <c r="D106" s="59" t="s">
        <v>1103</v>
      </c>
      <c r="E106" s="103"/>
      <c r="F106" s="103"/>
      <c r="G106" s="55">
        <v>1</v>
      </c>
      <c r="H106" s="55"/>
      <c r="I106" s="65" t="s">
        <v>1128</v>
      </c>
      <c r="J106" s="65"/>
      <c r="K106" s="72"/>
      <c r="L106" s="65"/>
      <c r="M106" s="106"/>
      <c r="N106" s="58" t="s">
        <v>1105</v>
      </c>
    </row>
    <row r="107" spans="1:14" s="61" customFormat="1">
      <c r="A107" s="55">
        <v>101</v>
      </c>
      <c r="B107" s="59" t="s">
        <v>1068</v>
      </c>
      <c r="C107" s="58"/>
      <c r="D107" s="59" t="s">
        <v>1103</v>
      </c>
      <c r="E107" s="103"/>
      <c r="F107" s="103"/>
      <c r="G107" s="55">
        <v>1</v>
      </c>
      <c r="H107" s="55"/>
      <c r="I107" s="65" t="s">
        <v>1130</v>
      </c>
      <c r="J107" s="65"/>
      <c r="K107" s="72"/>
      <c r="L107" s="65"/>
      <c r="M107" s="106"/>
      <c r="N107" s="58" t="s">
        <v>1105</v>
      </c>
    </row>
    <row r="108" spans="1:14" s="61" customFormat="1">
      <c r="A108" s="55">
        <v>102</v>
      </c>
      <c r="B108" s="59" t="s">
        <v>1068</v>
      </c>
      <c r="C108" s="58"/>
      <c r="D108" s="59" t="s">
        <v>1103</v>
      </c>
      <c r="E108" s="103"/>
      <c r="F108" s="103"/>
      <c r="G108" s="55">
        <v>1</v>
      </c>
      <c r="H108" s="55"/>
      <c r="I108" s="65" t="s">
        <v>1130</v>
      </c>
      <c r="J108" s="65"/>
      <c r="K108" s="72"/>
      <c r="L108" s="65"/>
      <c r="M108" s="106"/>
      <c r="N108" s="58" t="s">
        <v>1105</v>
      </c>
    </row>
    <row r="109" spans="1:14" s="61" customFormat="1">
      <c r="A109" s="55">
        <v>103</v>
      </c>
      <c r="B109" s="59" t="s">
        <v>1068</v>
      </c>
      <c r="C109" s="58"/>
      <c r="D109" s="59" t="s">
        <v>1103</v>
      </c>
      <c r="E109" s="103"/>
      <c r="F109" s="103"/>
      <c r="G109" s="55">
        <v>1</v>
      </c>
      <c r="H109" s="55"/>
      <c r="I109" s="65" t="s">
        <v>1130</v>
      </c>
      <c r="J109" s="65"/>
      <c r="K109" s="72"/>
      <c r="L109" s="65"/>
      <c r="M109" s="106"/>
      <c r="N109" s="58" t="s">
        <v>1105</v>
      </c>
    </row>
    <row r="110" spans="1:14" s="61" customFormat="1">
      <c r="A110" s="55">
        <v>104</v>
      </c>
      <c r="B110" s="59" t="s">
        <v>1068</v>
      </c>
      <c r="C110" s="58"/>
      <c r="D110" s="59" t="s">
        <v>1103</v>
      </c>
      <c r="E110" s="103"/>
      <c r="F110" s="103"/>
      <c r="G110" s="55">
        <v>1</v>
      </c>
      <c r="H110" s="55"/>
      <c r="I110" s="65" t="s">
        <v>1128</v>
      </c>
      <c r="J110" s="65"/>
      <c r="K110" s="72"/>
      <c r="L110" s="65"/>
      <c r="M110" s="106"/>
      <c r="N110" s="58" t="s">
        <v>1105</v>
      </c>
    </row>
    <row r="111" spans="1:14" s="61" customFormat="1">
      <c r="A111" s="55">
        <v>105</v>
      </c>
      <c r="B111" s="59" t="s">
        <v>1068</v>
      </c>
      <c r="C111" s="58"/>
      <c r="D111" s="59" t="s">
        <v>1103</v>
      </c>
      <c r="E111" s="103"/>
      <c r="F111" s="103"/>
      <c r="G111" s="55">
        <v>1</v>
      </c>
      <c r="H111" s="55"/>
      <c r="I111" s="65" t="s">
        <v>1132</v>
      </c>
      <c r="J111" s="65"/>
      <c r="K111" s="72"/>
      <c r="L111" s="65"/>
      <c r="M111" s="106"/>
      <c r="N111" s="58" t="s">
        <v>1105</v>
      </c>
    </row>
    <row r="112" spans="1:14" s="61" customFormat="1">
      <c r="A112" s="55">
        <v>106</v>
      </c>
      <c r="B112" s="59" t="s">
        <v>1068</v>
      </c>
      <c r="C112" s="58"/>
      <c r="D112" s="59" t="s">
        <v>1103</v>
      </c>
      <c r="E112" s="103"/>
      <c r="F112" s="103"/>
      <c r="G112" s="55">
        <v>1</v>
      </c>
      <c r="H112" s="55"/>
      <c r="I112" s="65" t="s">
        <v>1133</v>
      </c>
      <c r="J112" s="65"/>
      <c r="K112" s="72"/>
      <c r="L112" s="65"/>
      <c r="M112" s="106"/>
      <c r="N112" s="58" t="s">
        <v>1105</v>
      </c>
    </row>
    <row r="113" spans="1:14" s="61" customFormat="1">
      <c r="A113" s="55">
        <v>107</v>
      </c>
      <c r="B113" s="59" t="s">
        <v>1068</v>
      </c>
      <c r="C113" s="58"/>
      <c r="D113" s="59" t="s">
        <v>1103</v>
      </c>
      <c r="E113" s="103"/>
      <c r="F113" s="103"/>
      <c r="G113" s="55">
        <v>1</v>
      </c>
      <c r="H113" s="55"/>
      <c r="I113" s="65" t="s">
        <v>1134</v>
      </c>
      <c r="J113" s="65"/>
      <c r="K113" s="72"/>
      <c r="L113" s="65"/>
      <c r="M113" s="106"/>
      <c r="N113" s="58" t="s">
        <v>1105</v>
      </c>
    </row>
    <row r="114" spans="1:14" s="61" customFormat="1">
      <c r="A114" s="55">
        <v>108</v>
      </c>
      <c r="B114" s="59" t="s">
        <v>1068</v>
      </c>
      <c r="C114" s="58"/>
      <c r="D114" s="59" t="s">
        <v>1103</v>
      </c>
      <c r="E114" s="103"/>
      <c r="F114" s="103"/>
      <c r="G114" s="55">
        <v>1</v>
      </c>
      <c r="H114" s="55"/>
      <c r="I114" s="65" t="s">
        <v>1135</v>
      </c>
      <c r="J114" s="65"/>
      <c r="K114" s="72"/>
      <c r="L114" s="65"/>
      <c r="M114" s="106"/>
      <c r="N114" s="58" t="s">
        <v>1105</v>
      </c>
    </row>
    <row r="115" spans="1:14" s="61" customFormat="1">
      <c r="A115" s="55">
        <v>109</v>
      </c>
      <c r="B115" s="59" t="s">
        <v>1068</v>
      </c>
      <c r="C115" s="58"/>
      <c r="D115" s="59" t="s">
        <v>1103</v>
      </c>
      <c r="E115" s="103"/>
      <c r="F115" s="103"/>
      <c r="G115" s="55">
        <v>1</v>
      </c>
      <c r="H115" s="55"/>
      <c r="I115" s="65" t="s">
        <v>1102</v>
      </c>
      <c r="J115" s="65"/>
      <c r="K115" s="72"/>
      <c r="L115" s="65"/>
      <c r="M115" s="106"/>
      <c r="N115" s="58" t="s">
        <v>1105</v>
      </c>
    </row>
    <row r="116" spans="1:14" s="61" customFormat="1">
      <c r="A116" s="55">
        <v>110</v>
      </c>
      <c r="B116" s="59" t="s">
        <v>1068</v>
      </c>
      <c r="C116" s="58"/>
      <c r="D116" s="59" t="s">
        <v>1103</v>
      </c>
      <c r="E116" s="103"/>
      <c r="F116" s="103"/>
      <c r="G116" s="55">
        <v>1</v>
      </c>
      <c r="H116" s="55"/>
      <c r="I116" s="65" t="s">
        <v>1136</v>
      </c>
      <c r="J116" s="65"/>
      <c r="K116" s="72"/>
      <c r="L116" s="65"/>
      <c r="M116" s="106"/>
      <c r="N116" s="58" t="s">
        <v>1105</v>
      </c>
    </row>
    <row r="117" spans="1:14" s="61" customFormat="1">
      <c r="A117" s="55">
        <v>111</v>
      </c>
      <c r="B117" s="59" t="s">
        <v>1068</v>
      </c>
      <c r="C117" s="58"/>
      <c r="D117" s="59" t="s">
        <v>1103</v>
      </c>
      <c r="E117" s="103"/>
      <c r="F117" s="103"/>
      <c r="G117" s="55">
        <v>1</v>
      </c>
      <c r="H117" s="55"/>
      <c r="I117" s="65" t="s">
        <v>1137</v>
      </c>
      <c r="J117" s="65"/>
      <c r="K117" s="72"/>
      <c r="L117" s="65"/>
      <c r="M117" s="106"/>
      <c r="N117" s="58" t="s">
        <v>1105</v>
      </c>
    </row>
    <row r="118" spans="1:14" s="61" customFormat="1">
      <c r="A118" s="55">
        <v>112</v>
      </c>
      <c r="B118" s="59" t="s">
        <v>1068</v>
      </c>
      <c r="C118" s="58"/>
      <c r="D118" s="59" t="s">
        <v>1103</v>
      </c>
      <c r="E118" s="103"/>
      <c r="F118" s="103"/>
      <c r="G118" s="55">
        <v>1</v>
      </c>
      <c r="H118" s="55"/>
      <c r="I118" s="65" t="s">
        <v>1138</v>
      </c>
      <c r="J118" s="65"/>
      <c r="K118" s="72"/>
      <c r="L118" s="65"/>
      <c r="M118" s="106"/>
      <c r="N118" s="58" t="s">
        <v>1105</v>
      </c>
    </row>
    <row r="119" spans="1:14" s="61" customFormat="1">
      <c r="A119" s="55">
        <v>113</v>
      </c>
      <c r="B119" s="59" t="s">
        <v>1068</v>
      </c>
      <c r="C119" s="58"/>
      <c r="D119" s="59" t="s">
        <v>1103</v>
      </c>
      <c r="E119" s="103"/>
      <c r="F119" s="103"/>
      <c r="G119" s="55">
        <v>1</v>
      </c>
      <c r="H119" s="55"/>
      <c r="I119" s="65" t="s">
        <v>1139</v>
      </c>
      <c r="J119" s="65"/>
      <c r="K119" s="72"/>
      <c r="L119" s="65"/>
      <c r="M119" s="106"/>
      <c r="N119" s="58" t="s">
        <v>1105</v>
      </c>
    </row>
    <row r="120" spans="1:14" s="61" customFormat="1">
      <c r="A120" s="55">
        <v>114</v>
      </c>
      <c r="B120" s="59" t="s">
        <v>1068</v>
      </c>
      <c r="C120" s="58"/>
      <c r="D120" s="59" t="s">
        <v>1103</v>
      </c>
      <c r="E120" s="103"/>
      <c r="F120" s="103"/>
      <c r="G120" s="55">
        <v>1</v>
      </c>
      <c r="H120" s="55"/>
      <c r="I120" s="65" t="s">
        <v>1140</v>
      </c>
      <c r="J120" s="65"/>
      <c r="K120" s="72"/>
      <c r="L120" s="65"/>
      <c r="M120" s="106"/>
      <c r="N120" s="58" t="s">
        <v>1105</v>
      </c>
    </row>
    <row r="121" spans="1:14" s="61" customFormat="1">
      <c r="A121" s="55">
        <v>115</v>
      </c>
      <c r="B121" s="59" t="s">
        <v>1068</v>
      </c>
      <c r="C121" s="58"/>
      <c r="D121" s="59" t="s">
        <v>1103</v>
      </c>
      <c r="E121" s="103"/>
      <c r="F121" s="103"/>
      <c r="G121" s="55">
        <v>1</v>
      </c>
      <c r="H121" s="55"/>
      <c r="I121" s="65" t="s">
        <v>1141</v>
      </c>
      <c r="J121" s="65"/>
      <c r="K121" s="72"/>
      <c r="L121" s="65"/>
      <c r="M121" s="106"/>
      <c r="N121" s="58" t="s">
        <v>1105</v>
      </c>
    </row>
    <row r="122" spans="1:14" s="61" customFormat="1">
      <c r="A122" s="55">
        <v>116</v>
      </c>
      <c r="B122" s="59" t="s">
        <v>1068</v>
      </c>
      <c r="C122" s="58"/>
      <c r="D122" s="59" t="s">
        <v>1103</v>
      </c>
      <c r="E122" s="103"/>
      <c r="F122" s="103"/>
      <c r="G122" s="55">
        <v>1</v>
      </c>
      <c r="H122" s="55"/>
      <c r="I122" s="65" t="s">
        <v>1142</v>
      </c>
      <c r="J122" s="65"/>
      <c r="K122" s="72"/>
      <c r="L122" s="65"/>
      <c r="M122" s="106"/>
      <c r="N122" s="58" t="s">
        <v>1105</v>
      </c>
    </row>
    <row r="123" spans="1:14" s="61" customFormat="1">
      <c r="A123" s="55">
        <v>117</v>
      </c>
      <c r="B123" s="59" t="s">
        <v>1068</v>
      </c>
      <c r="C123" s="58"/>
      <c r="D123" s="59" t="s">
        <v>1103</v>
      </c>
      <c r="E123" s="103"/>
      <c r="F123" s="103"/>
      <c r="G123" s="55">
        <v>1</v>
      </c>
      <c r="H123" s="55"/>
      <c r="I123" s="65" t="s">
        <v>1143</v>
      </c>
      <c r="J123" s="65"/>
      <c r="K123" s="72"/>
      <c r="L123" s="65"/>
      <c r="M123" s="106"/>
      <c r="N123" s="58" t="s">
        <v>1105</v>
      </c>
    </row>
    <row r="124" spans="1:14" s="61" customFormat="1">
      <c r="A124" s="55">
        <v>118</v>
      </c>
      <c r="B124" s="59" t="s">
        <v>1068</v>
      </c>
      <c r="C124" s="58"/>
      <c r="D124" s="59" t="s">
        <v>1103</v>
      </c>
      <c r="E124" s="103"/>
      <c r="F124" s="103"/>
      <c r="G124" s="55">
        <v>1</v>
      </c>
      <c r="H124" s="55"/>
      <c r="I124" s="65" t="s">
        <v>1144</v>
      </c>
      <c r="J124" s="65"/>
      <c r="K124" s="72"/>
      <c r="L124" s="65"/>
      <c r="M124" s="106"/>
      <c r="N124" s="58" t="s">
        <v>1105</v>
      </c>
    </row>
    <row r="125" spans="1:14" s="61" customFormat="1">
      <c r="A125" s="55">
        <v>119</v>
      </c>
      <c r="B125" s="59" t="s">
        <v>1068</v>
      </c>
      <c r="C125" s="58"/>
      <c r="D125" s="59" t="s">
        <v>1103</v>
      </c>
      <c r="E125" s="103"/>
      <c r="F125" s="103"/>
      <c r="G125" s="55">
        <v>1</v>
      </c>
      <c r="H125" s="55"/>
      <c r="I125" s="65" t="s">
        <v>1145</v>
      </c>
      <c r="J125" s="65"/>
      <c r="K125" s="72"/>
      <c r="L125" s="65"/>
      <c r="M125" s="106"/>
      <c r="N125" s="58" t="s">
        <v>1105</v>
      </c>
    </row>
    <row r="126" spans="1:14" s="61" customFormat="1">
      <c r="A126" s="55">
        <v>120</v>
      </c>
      <c r="B126" s="59" t="s">
        <v>1068</v>
      </c>
      <c r="C126" s="58"/>
      <c r="D126" s="59" t="s">
        <v>1103</v>
      </c>
      <c r="E126" s="103"/>
      <c r="F126" s="103"/>
      <c r="G126" s="55">
        <v>1</v>
      </c>
      <c r="H126" s="55"/>
      <c r="I126" s="65" t="s">
        <v>1146</v>
      </c>
      <c r="J126" s="65"/>
      <c r="K126" s="72"/>
      <c r="L126" s="65"/>
      <c r="M126" s="106"/>
      <c r="N126" s="58" t="s">
        <v>1105</v>
      </c>
    </row>
    <row r="127" spans="1:14" s="61" customFormat="1">
      <c r="A127" s="55">
        <v>121</v>
      </c>
      <c r="B127" s="59" t="s">
        <v>1068</v>
      </c>
      <c r="C127" s="58"/>
      <c r="D127" s="59" t="s">
        <v>1103</v>
      </c>
      <c r="E127" s="103"/>
      <c r="F127" s="103"/>
      <c r="G127" s="55">
        <v>1</v>
      </c>
      <c r="H127" s="55"/>
      <c r="I127" s="65" t="s">
        <v>1147</v>
      </c>
      <c r="J127" s="65"/>
      <c r="K127" s="72"/>
      <c r="L127" s="65"/>
      <c r="M127" s="106"/>
      <c r="N127" s="58" t="s">
        <v>1105</v>
      </c>
    </row>
    <row r="128" spans="1:14" s="61" customFormat="1">
      <c r="A128" s="55">
        <v>122</v>
      </c>
      <c r="B128" s="59" t="s">
        <v>1068</v>
      </c>
      <c r="C128" s="58"/>
      <c r="D128" s="59" t="s">
        <v>1103</v>
      </c>
      <c r="E128" s="103"/>
      <c r="F128" s="103"/>
      <c r="G128" s="55">
        <v>1</v>
      </c>
      <c r="H128" s="55"/>
      <c r="I128" s="65" t="s">
        <v>1148</v>
      </c>
      <c r="J128" s="65"/>
      <c r="K128" s="72"/>
      <c r="L128" s="65"/>
      <c r="M128" s="106"/>
      <c r="N128" s="58" t="s">
        <v>1105</v>
      </c>
    </row>
    <row r="129" spans="1:14" s="61" customFormat="1">
      <c r="A129" s="55">
        <v>123</v>
      </c>
      <c r="B129" s="59" t="s">
        <v>1068</v>
      </c>
      <c r="C129" s="58"/>
      <c r="D129" s="59" t="s">
        <v>1103</v>
      </c>
      <c r="E129" s="103"/>
      <c r="F129" s="103"/>
      <c r="G129" s="55">
        <v>1</v>
      </c>
      <c r="H129" s="55"/>
      <c r="I129" s="65" t="s">
        <v>1149</v>
      </c>
      <c r="J129" s="65"/>
      <c r="K129" s="72"/>
      <c r="L129" s="65"/>
      <c r="M129" s="106"/>
      <c r="N129" s="58" t="s">
        <v>1105</v>
      </c>
    </row>
    <row r="130" spans="1:14" s="61" customFormat="1">
      <c r="A130" s="55">
        <v>124</v>
      </c>
      <c r="B130" s="59" t="s">
        <v>1068</v>
      </c>
      <c r="C130" s="58"/>
      <c r="D130" s="59" t="s">
        <v>1103</v>
      </c>
      <c r="E130" s="103"/>
      <c r="F130" s="103"/>
      <c r="G130" s="55">
        <v>1</v>
      </c>
      <c r="K130" s="110"/>
      <c r="M130" s="106"/>
      <c r="N130" s="58" t="s">
        <v>1105</v>
      </c>
    </row>
    <row r="131" spans="1:14" s="61" customFormat="1">
      <c r="A131" s="55">
        <v>125</v>
      </c>
      <c r="B131" s="59" t="s">
        <v>1068</v>
      </c>
      <c r="C131" s="58"/>
      <c r="D131" s="59" t="s">
        <v>1103</v>
      </c>
      <c r="E131" s="103"/>
      <c r="F131" s="103"/>
      <c r="G131" s="55">
        <v>1</v>
      </c>
      <c r="H131" s="55"/>
      <c r="I131" s="65" t="s">
        <v>1096</v>
      </c>
      <c r="J131" s="65"/>
      <c r="K131" s="72"/>
      <c r="L131" s="65"/>
      <c r="M131" s="106"/>
      <c r="N131" s="58" t="s">
        <v>1105</v>
      </c>
    </row>
    <row r="132" spans="1:14" s="61" customFormat="1">
      <c r="A132" s="55">
        <v>126</v>
      </c>
      <c r="B132" s="59" t="s">
        <v>1068</v>
      </c>
      <c r="C132" s="58"/>
      <c r="D132" s="59" t="s">
        <v>1103</v>
      </c>
      <c r="E132" s="103"/>
      <c r="F132" s="103"/>
      <c r="G132" s="55">
        <v>1</v>
      </c>
      <c r="H132" s="55"/>
      <c r="I132" s="65" t="s">
        <v>1096</v>
      </c>
      <c r="J132" s="65"/>
      <c r="K132" s="72"/>
      <c r="L132" s="65"/>
      <c r="M132" s="106"/>
      <c r="N132" s="58" t="s">
        <v>1105</v>
      </c>
    </row>
    <row r="133" spans="1:14" s="61" customFormat="1">
      <c r="A133" s="55">
        <v>127</v>
      </c>
      <c r="B133" s="59" t="s">
        <v>1068</v>
      </c>
      <c r="C133" s="58"/>
      <c r="D133" s="59" t="s">
        <v>1103</v>
      </c>
      <c r="E133" s="103"/>
      <c r="F133" s="103"/>
      <c r="G133" s="55">
        <v>1</v>
      </c>
      <c r="H133" s="55"/>
      <c r="I133" s="65" t="s">
        <v>1150</v>
      </c>
      <c r="J133" s="65"/>
      <c r="K133" s="72"/>
      <c r="L133" s="65"/>
      <c r="M133" s="106"/>
      <c r="N133" s="58" t="s">
        <v>1105</v>
      </c>
    </row>
    <row r="134" spans="1:14" s="61" customFormat="1">
      <c r="A134" s="55">
        <v>128</v>
      </c>
      <c r="B134" s="59" t="s">
        <v>1068</v>
      </c>
      <c r="C134" s="58"/>
      <c r="D134" s="59" t="s">
        <v>1103</v>
      </c>
      <c r="E134" s="103"/>
      <c r="F134" s="103"/>
      <c r="G134" s="55">
        <v>1</v>
      </c>
      <c r="H134" s="55"/>
      <c r="I134" s="65" t="s">
        <v>1151</v>
      </c>
      <c r="J134" s="65"/>
      <c r="K134" s="72"/>
      <c r="L134" s="65"/>
      <c r="M134" s="106">
        <f>COUNT(G75:G134)</f>
        <v>60</v>
      </c>
      <c r="N134" s="58" t="s">
        <v>1105</v>
      </c>
    </row>
    <row r="135" spans="1:14" s="61" customFormat="1">
      <c r="A135" s="55">
        <v>129</v>
      </c>
      <c r="B135" s="245" t="s">
        <v>1152</v>
      </c>
      <c r="C135" s="245"/>
      <c r="D135" s="245" t="s">
        <v>1153</v>
      </c>
      <c r="E135" s="245"/>
      <c r="F135" s="72"/>
      <c r="G135" s="55">
        <v>1</v>
      </c>
      <c r="H135" s="55"/>
      <c r="I135" s="59" t="s">
        <v>1154</v>
      </c>
      <c r="J135" s="59"/>
      <c r="K135" s="72" t="s">
        <v>611</v>
      </c>
      <c r="L135" s="59"/>
      <c r="M135" s="106"/>
      <c r="N135" s="72" t="s">
        <v>1065</v>
      </c>
    </row>
    <row r="136" spans="1:14" s="61" customFormat="1">
      <c r="A136" s="55">
        <v>130</v>
      </c>
      <c r="B136" s="89" t="s">
        <v>1155</v>
      </c>
      <c r="C136" s="89"/>
      <c r="D136" s="72" t="s">
        <v>1156</v>
      </c>
      <c r="E136" s="55"/>
      <c r="F136" s="55"/>
      <c r="G136" s="55">
        <v>1</v>
      </c>
      <c r="H136" s="55"/>
      <c r="I136" s="59" t="s">
        <v>110</v>
      </c>
      <c r="J136" s="59"/>
      <c r="K136" s="72"/>
      <c r="L136" s="59"/>
      <c r="M136" s="106"/>
      <c r="N136" s="72" t="s">
        <v>1065</v>
      </c>
    </row>
    <row r="137" spans="1:14" s="61" customFormat="1">
      <c r="A137" s="55"/>
      <c r="B137" s="59" t="s">
        <v>1157</v>
      </c>
      <c r="C137" s="58"/>
      <c r="D137" s="231"/>
      <c r="E137" s="241"/>
      <c r="F137" s="55"/>
      <c r="G137" s="55"/>
      <c r="H137" s="55"/>
      <c r="I137" s="58" t="s">
        <v>1158</v>
      </c>
      <c r="J137" s="59"/>
      <c r="K137" s="72"/>
      <c r="L137" s="59"/>
      <c r="M137" s="106"/>
      <c r="N137" s="72"/>
    </row>
    <row r="138" spans="1:14" s="61" customFormat="1">
      <c r="A138" s="55"/>
      <c r="B138" s="59" t="s">
        <v>1159</v>
      </c>
      <c r="C138" s="58"/>
      <c r="D138" s="231"/>
      <c r="E138" s="241"/>
      <c r="F138" s="55"/>
      <c r="G138" s="55"/>
      <c r="H138" s="55"/>
      <c r="I138" s="58" t="s">
        <v>1160</v>
      </c>
      <c r="J138" s="59"/>
      <c r="K138" s="72"/>
      <c r="L138" s="59"/>
      <c r="M138" s="106"/>
      <c r="N138" s="72"/>
    </row>
    <row r="139" spans="1:14" s="61" customFormat="1">
      <c r="A139" s="55"/>
      <c r="B139" s="59" t="s">
        <v>1161</v>
      </c>
      <c r="C139" s="58"/>
      <c r="D139" s="231"/>
      <c r="E139" s="241"/>
      <c r="F139" s="55"/>
      <c r="G139" s="55"/>
      <c r="H139" s="111" t="s">
        <v>1162</v>
      </c>
      <c r="I139" s="58" t="s">
        <v>1163</v>
      </c>
      <c r="J139" s="59"/>
      <c r="K139" s="72"/>
      <c r="L139" s="59"/>
      <c r="M139" s="106"/>
      <c r="N139" s="72"/>
    </row>
    <row r="140" spans="1:14" s="61" customFormat="1">
      <c r="A140" s="55"/>
      <c r="B140" s="59" t="s">
        <v>1161</v>
      </c>
      <c r="C140" s="58"/>
      <c r="D140" s="231"/>
      <c r="E140" s="241"/>
      <c r="F140" s="72"/>
      <c r="G140" s="55"/>
      <c r="H140" s="111" t="s">
        <v>1164</v>
      </c>
      <c r="I140" s="58" t="s">
        <v>1165</v>
      </c>
      <c r="J140" s="59"/>
      <c r="K140" s="72"/>
      <c r="L140" s="59"/>
      <c r="M140" s="106"/>
      <c r="N140" s="72"/>
    </row>
    <row r="141" spans="1:14" s="61" customFormat="1">
      <c r="A141" s="55"/>
      <c r="B141" s="59" t="s">
        <v>1161</v>
      </c>
      <c r="C141" s="58"/>
      <c r="D141" s="231"/>
      <c r="E141" s="241"/>
      <c r="F141" s="55"/>
      <c r="G141" s="55"/>
      <c r="H141" s="111" t="s">
        <v>1166</v>
      </c>
      <c r="I141" s="58" t="s">
        <v>1167</v>
      </c>
      <c r="J141" s="59"/>
      <c r="K141" s="72"/>
      <c r="L141" s="59"/>
      <c r="M141" s="106"/>
      <c r="N141" s="72"/>
    </row>
    <row r="142" spans="1:14" s="61" customFormat="1">
      <c r="A142" s="55">
        <v>131</v>
      </c>
      <c r="B142" s="231" t="s">
        <v>1168</v>
      </c>
      <c r="C142" s="241"/>
      <c r="D142" s="231" t="s">
        <v>1169</v>
      </c>
      <c r="E142" s="241"/>
      <c r="F142" s="55"/>
      <c r="G142" s="55">
        <v>1</v>
      </c>
      <c r="H142" s="55"/>
      <c r="I142" s="59" t="s">
        <v>110</v>
      </c>
      <c r="J142" s="59"/>
      <c r="K142" s="72"/>
      <c r="L142" s="59"/>
      <c r="M142" s="106"/>
      <c r="N142" s="72" t="s">
        <v>1065</v>
      </c>
    </row>
    <row r="143" spans="1:14" s="61" customFormat="1">
      <c r="A143" s="55">
        <v>132</v>
      </c>
      <c r="B143" s="231" t="s">
        <v>1168</v>
      </c>
      <c r="C143" s="241"/>
      <c r="D143" s="231" t="s">
        <v>1169</v>
      </c>
      <c r="E143" s="241"/>
      <c r="F143" s="55"/>
      <c r="G143" s="55">
        <v>1</v>
      </c>
      <c r="H143" s="55"/>
      <c r="I143" s="59" t="s">
        <v>110</v>
      </c>
      <c r="J143" s="59"/>
      <c r="K143" s="72"/>
      <c r="L143" s="59"/>
      <c r="M143" s="106"/>
      <c r="N143" s="72" t="s">
        <v>1065</v>
      </c>
    </row>
    <row r="144" spans="1:14" s="61" customFormat="1">
      <c r="A144" s="55">
        <v>133</v>
      </c>
      <c r="B144" s="231" t="s">
        <v>1168</v>
      </c>
      <c r="C144" s="241"/>
      <c r="D144" s="231" t="s">
        <v>1169</v>
      </c>
      <c r="E144" s="241"/>
      <c r="F144" s="55"/>
      <c r="G144" s="55">
        <v>1</v>
      </c>
      <c r="H144" s="55"/>
      <c r="I144" s="59" t="s">
        <v>110</v>
      </c>
      <c r="J144" s="59"/>
      <c r="K144" s="72"/>
      <c r="L144" s="59"/>
      <c r="M144" s="106"/>
      <c r="N144" s="72" t="s">
        <v>1065</v>
      </c>
    </row>
    <row r="145" spans="1:14" s="61" customFormat="1">
      <c r="A145" s="55">
        <v>134</v>
      </c>
      <c r="B145" s="231" t="s">
        <v>1168</v>
      </c>
      <c r="C145" s="241"/>
      <c r="D145" s="231" t="s">
        <v>1169</v>
      </c>
      <c r="E145" s="241"/>
      <c r="F145" s="72"/>
      <c r="G145" s="55">
        <v>1</v>
      </c>
      <c r="H145" s="55"/>
      <c r="I145" s="59" t="s">
        <v>110</v>
      </c>
      <c r="J145" s="59"/>
      <c r="K145" s="72"/>
      <c r="L145" s="59"/>
      <c r="M145" s="106"/>
      <c r="N145" s="72" t="s">
        <v>1065</v>
      </c>
    </row>
    <row r="146" spans="1:14" s="61" customFormat="1">
      <c r="A146" s="55">
        <v>135</v>
      </c>
      <c r="B146" s="231" t="s">
        <v>1168</v>
      </c>
      <c r="C146" s="241"/>
      <c r="D146" s="231" t="s">
        <v>1169</v>
      </c>
      <c r="E146" s="241"/>
      <c r="F146" s="55"/>
      <c r="G146" s="55">
        <v>1</v>
      </c>
      <c r="H146" s="55"/>
      <c r="I146" s="59" t="s">
        <v>110</v>
      </c>
      <c r="J146" s="59"/>
      <c r="K146" s="72"/>
      <c r="L146" s="59"/>
      <c r="M146" s="106"/>
      <c r="N146" s="72" t="s">
        <v>1065</v>
      </c>
    </row>
    <row r="147" spans="1:14" s="61" customFormat="1">
      <c r="A147" s="63"/>
      <c r="B147" s="34"/>
      <c r="C147" s="34"/>
      <c r="D147" s="64"/>
      <c r="E147" s="63"/>
      <c r="F147" s="63"/>
      <c r="G147" s="63"/>
      <c r="H147" s="63"/>
      <c r="I147" s="63"/>
      <c r="J147" s="63"/>
      <c r="K147" s="63"/>
      <c r="L147" s="63"/>
      <c r="M147" s="106"/>
    </row>
    <row r="148" spans="1:14" s="61" customFormat="1">
      <c r="A148" s="63"/>
      <c r="B148" s="34"/>
      <c r="C148" s="34"/>
      <c r="D148" s="64"/>
      <c r="E148" s="63"/>
      <c r="F148" s="63"/>
      <c r="G148" s="63"/>
      <c r="H148" s="63"/>
      <c r="I148" s="63"/>
      <c r="J148" s="63"/>
      <c r="K148" s="63"/>
      <c r="L148" s="63"/>
      <c r="M148" s="106"/>
    </row>
    <row r="149" spans="1:14" s="97" customFormat="1" ht="21" customHeight="1">
      <c r="A149" s="39"/>
      <c r="B149" s="91" t="s">
        <v>1060</v>
      </c>
      <c r="C149" s="92"/>
      <c r="D149" s="92"/>
      <c r="E149" s="39"/>
      <c r="F149" s="39"/>
      <c r="G149" s="39" t="s">
        <v>1061</v>
      </c>
      <c r="H149" s="94"/>
      <c r="I149" s="92"/>
      <c r="J149" s="92"/>
      <c r="K149" s="92"/>
      <c r="L149" s="92"/>
    </row>
  </sheetData>
  <sheetProtection formatCells="0" formatColumns="0" formatRows="0" insertColumns="0" insertRows="0" insertHyperlinks="0" deleteColumns="0" deleteRows="0" sort="0" autoFilter="0" pivotTables="0"/>
  <autoFilter ref="A6:N146" xr:uid="{39052943-48BC-4CAD-8AD6-1D557A6D083E}">
    <filterColumn colId="1" showButton="0"/>
    <filterColumn colId="3" showButton="0"/>
  </autoFilter>
  <mergeCells count="23">
    <mergeCell ref="B145:C145"/>
    <mergeCell ref="D145:E145"/>
    <mergeCell ref="B146:C146"/>
    <mergeCell ref="D146:E146"/>
    <mergeCell ref="D141:E141"/>
    <mergeCell ref="B142:C142"/>
    <mergeCell ref="D142:E142"/>
    <mergeCell ref="B143:C143"/>
    <mergeCell ref="D143:E143"/>
    <mergeCell ref="B144:C144"/>
    <mergeCell ref="D144:E144"/>
    <mergeCell ref="D140:E140"/>
    <mergeCell ref="C1:H2"/>
    <mergeCell ref="A4:B4"/>
    <mergeCell ref="D4:E4"/>
    <mergeCell ref="A5:D5"/>
    <mergeCell ref="B6:C6"/>
    <mergeCell ref="D6:E6"/>
    <mergeCell ref="B135:C135"/>
    <mergeCell ref="D135:E135"/>
    <mergeCell ref="D137:E137"/>
    <mergeCell ref="D138:E138"/>
    <mergeCell ref="D139:E139"/>
  </mergeCells>
  <printOptions horizontalCentered="1"/>
  <pageMargins left="0.19685039370078741" right="0.19685039370078741" top="0.19685039370078741" bottom="0.19685039370078741" header="0" footer="0"/>
  <pageSetup paperSize="9" scale="4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MOLD</vt:lpstr>
      <vt:lpstr>ME</vt:lpstr>
      <vt:lpstr>Master Equipment</vt:lpstr>
      <vt:lpstr>sheet (2)</vt:lpstr>
      <vt:lpstr>'Master Equipment'!Print_Area</vt:lpstr>
      <vt:lpstr>'sheet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 Musadad</dc:creator>
  <cp:lastModifiedBy>Anwar Musadad</cp:lastModifiedBy>
  <dcterms:created xsi:type="dcterms:W3CDTF">2025-08-19T11:14:30Z</dcterms:created>
  <dcterms:modified xsi:type="dcterms:W3CDTF">2025-08-26T07:56:04Z</dcterms:modified>
</cp:coreProperties>
</file>